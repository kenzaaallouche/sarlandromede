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hp\Downloads\Nouveau dossier (26)\Andromede-app1-main\"/>
    </mc:Choice>
  </mc:AlternateContent>
  <xr:revisionPtr revIDLastSave="0" documentId="13_ncr:1_{29242F91-C846-4369-88F8-8EB6E414D625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BON DE PREPARATION" sheetId="1" r:id="rId1"/>
    <sheet name="1" sheetId="11" r:id="rId2"/>
    <sheet name="2" sheetId="7" r:id="rId3"/>
    <sheet name="3" sheetId="13" r:id="rId4"/>
    <sheet name="4" sheetId="9" r:id="rId5"/>
    <sheet name="5" sheetId="8" r:id="rId6"/>
    <sheet name="6" sheetId="3" r:id="rId7"/>
    <sheet name="7" sheetId="6" r:id="rId8"/>
    <sheet name="8" sheetId="5" r:id="rId9"/>
    <sheet name="9" sheetId="10" r:id="rId10"/>
    <sheet name="10" sheetId="12" r:id="rId11"/>
    <sheet name="11" sheetId="14" r:id="rId12"/>
    <sheet name="12" sheetId="4" r:id="rId13"/>
    <sheet name="13" sheetId="15" r:id="rId14"/>
    <sheet name="14" sheetId="16" r:id="rId15"/>
    <sheet name="15" sheetId="17" r:id="rId16"/>
    <sheet name="16" sheetId="18" r:id="rId17"/>
    <sheet name="17" sheetId="19" r:id="rId18"/>
    <sheet name="18" sheetId="20" r:id="rId19"/>
    <sheet name="19" sheetId="21" r:id="rId20"/>
    <sheet name="20" sheetId="22" r:id="rId21"/>
    <sheet name="21" sheetId="23" r:id="rId22"/>
    <sheet name="22" sheetId="24" r:id="rId23"/>
    <sheet name="23" sheetId="25" r:id="rId24"/>
    <sheet name="24" sheetId="26" r:id="rId25"/>
    <sheet name="25" sheetId="27" r:id="rId26"/>
    <sheet name="26" sheetId="28" r:id="rId27"/>
    <sheet name="27" sheetId="29" r:id="rId28"/>
    <sheet name="28" sheetId="30" r:id="rId29"/>
    <sheet name="29" sheetId="31" r:id="rId30"/>
    <sheet name="30" sheetId="32" r:id="rId31"/>
    <sheet name="10 (4)" sheetId="33" r:id="rId32"/>
    <sheet name="11 (3)" sheetId="34" r:id="rId33"/>
    <sheet name="12 (3)" sheetId="35" r:id="rId34"/>
    <sheet name="13 (3)" sheetId="36" r:id="rId35"/>
    <sheet name="14 (3)" sheetId="37" r:id="rId36"/>
    <sheet name="15 (3)" sheetId="38" r:id="rId37"/>
    <sheet name="16 (3)" sheetId="39" r:id="rId38"/>
    <sheet name="17 (3)" sheetId="40" r:id="rId39"/>
    <sheet name="18 (3)" sheetId="41" r:id="rId40"/>
    <sheet name="19 (3)" sheetId="42" r:id="rId41"/>
    <sheet name="10 (5)" sheetId="43" r:id="rId42"/>
  </sheets>
  <definedNames>
    <definedName name="_xlnm._FilterDatabase" localSheetId="1" hidden="1">'1'!$A$11:$F$74</definedName>
    <definedName name="_xlnm._FilterDatabase" localSheetId="12" hidden="1">'12'!$A$11:$I$76</definedName>
    <definedName name="_xlnm._FilterDatabase" localSheetId="2" hidden="1">'2'!$A$11:$F$74</definedName>
    <definedName name="_xlnm._FilterDatabase" localSheetId="3" hidden="1">'3'!$A$11:$F$74</definedName>
    <definedName name="_xlnm._FilterDatabase" localSheetId="8" hidden="1">'8'!$A$11:$I$76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5" i="4" l="1"/>
  <c r="F46" i="4"/>
  <c r="F47" i="4"/>
  <c r="F48" i="4"/>
  <c r="E62" i="1" l="1"/>
  <c r="F62" i="1" s="1"/>
  <c r="I62" i="1" s="1"/>
  <c r="E63" i="1"/>
  <c r="F63" i="1" s="1"/>
  <c r="I63" i="1" s="1"/>
  <c r="F62" i="7"/>
  <c r="I62" i="7" s="1"/>
  <c r="F63" i="7"/>
  <c r="I63" i="7"/>
  <c r="F62" i="13"/>
  <c r="I62" i="13" s="1"/>
  <c r="F63" i="13"/>
  <c r="I63" i="13" s="1"/>
  <c r="F62" i="9"/>
  <c r="I62" i="9" s="1"/>
  <c r="F63" i="9"/>
  <c r="I63" i="9" s="1"/>
  <c r="F62" i="8"/>
  <c r="I62" i="8" s="1"/>
  <c r="F63" i="8"/>
  <c r="I63" i="8" s="1"/>
  <c r="F62" i="3"/>
  <c r="I62" i="3" s="1"/>
  <c r="F63" i="3"/>
  <c r="I63" i="3" s="1"/>
  <c r="F62" i="6"/>
  <c r="I62" i="6" s="1"/>
  <c r="F63" i="6"/>
  <c r="I63" i="6" s="1"/>
  <c r="F62" i="5"/>
  <c r="I62" i="5" s="1"/>
  <c r="F63" i="5"/>
  <c r="I63" i="5" s="1"/>
  <c r="F62" i="10"/>
  <c r="I62" i="10" s="1"/>
  <c r="F63" i="10"/>
  <c r="I63" i="10" s="1"/>
  <c r="F62" i="12"/>
  <c r="I62" i="12" s="1"/>
  <c r="F63" i="12"/>
  <c r="I63" i="12" s="1"/>
  <c r="F62" i="14"/>
  <c r="I62" i="14" s="1"/>
  <c r="F63" i="14"/>
  <c r="I63" i="14" s="1"/>
  <c r="F62" i="4"/>
  <c r="I62" i="4" s="1"/>
  <c r="F63" i="4"/>
  <c r="I63" i="4" s="1"/>
  <c r="F62" i="15"/>
  <c r="I62" i="15" s="1"/>
  <c r="F63" i="15"/>
  <c r="I63" i="15" s="1"/>
  <c r="F62" i="16"/>
  <c r="I62" i="16"/>
  <c r="F63" i="16"/>
  <c r="I63" i="16" s="1"/>
  <c r="F62" i="17"/>
  <c r="I62" i="17" s="1"/>
  <c r="F63" i="17"/>
  <c r="I63" i="17" s="1"/>
  <c r="F62" i="18"/>
  <c r="I62" i="18"/>
  <c r="F63" i="18"/>
  <c r="I63" i="18" s="1"/>
  <c r="F62" i="19"/>
  <c r="I62" i="19" s="1"/>
  <c r="F63" i="19"/>
  <c r="I63" i="19" s="1"/>
  <c r="F62" i="20"/>
  <c r="I62" i="20" s="1"/>
  <c r="F63" i="20"/>
  <c r="I63" i="20" s="1"/>
  <c r="F62" i="21"/>
  <c r="I62" i="21" s="1"/>
  <c r="F63" i="21"/>
  <c r="I63" i="21" s="1"/>
  <c r="F62" i="22"/>
  <c r="I62" i="22" s="1"/>
  <c r="F63" i="22"/>
  <c r="I63" i="22" s="1"/>
  <c r="F62" i="23"/>
  <c r="I62" i="23" s="1"/>
  <c r="F63" i="23"/>
  <c r="I63" i="23" s="1"/>
  <c r="F62" i="24"/>
  <c r="I62" i="24" s="1"/>
  <c r="F63" i="24"/>
  <c r="I63" i="24" s="1"/>
  <c r="F62" i="25"/>
  <c r="I62" i="25" s="1"/>
  <c r="F63" i="25"/>
  <c r="I63" i="25" s="1"/>
  <c r="F62" i="26"/>
  <c r="I62" i="26" s="1"/>
  <c r="F63" i="26"/>
  <c r="I63" i="26"/>
  <c r="F62" i="27"/>
  <c r="I62" i="27" s="1"/>
  <c r="F63" i="27"/>
  <c r="I63" i="27" s="1"/>
  <c r="F62" i="28"/>
  <c r="I62" i="28" s="1"/>
  <c r="F63" i="28"/>
  <c r="I63" i="28"/>
  <c r="F62" i="29"/>
  <c r="I62" i="29" s="1"/>
  <c r="F63" i="29"/>
  <c r="I63" i="29" s="1"/>
  <c r="F62" i="30"/>
  <c r="I62" i="30" s="1"/>
  <c r="F63" i="30"/>
  <c r="I63" i="30" s="1"/>
  <c r="F62" i="31"/>
  <c r="I62" i="31" s="1"/>
  <c r="F63" i="31"/>
  <c r="I63" i="31" s="1"/>
  <c r="F62" i="32"/>
  <c r="I62" i="32"/>
  <c r="F63" i="32"/>
  <c r="I63" i="32" s="1"/>
  <c r="F62" i="33"/>
  <c r="I62" i="33" s="1"/>
  <c r="F63" i="33"/>
  <c r="I63" i="33" s="1"/>
  <c r="F62" i="34"/>
  <c r="I62" i="34"/>
  <c r="F63" i="34"/>
  <c r="I63" i="34"/>
  <c r="F62" i="35"/>
  <c r="I62" i="35" s="1"/>
  <c r="F63" i="35"/>
  <c r="I63" i="35" s="1"/>
  <c r="F62" i="36"/>
  <c r="I62" i="36" s="1"/>
  <c r="F63" i="36"/>
  <c r="I63" i="36"/>
  <c r="F62" i="37"/>
  <c r="I62" i="37" s="1"/>
  <c r="F63" i="37"/>
  <c r="I63" i="37" s="1"/>
  <c r="F62" i="38"/>
  <c r="I62" i="38" s="1"/>
  <c r="F63" i="38"/>
  <c r="I63" i="38" s="1"/>
  <c r="F62" i="39"/>
  <c r="I62" i="39" s="1"/>
  <c r="F63" i="39"/>
  <c r="I63" i="39" s="1"/>
  <c r="F62" i="40"/>
  <c r="I62" i="40"/>
  <c r="F63" i="40"/>
  <c r="I63" i="40" s="1"/>
  <c r="F62" i="41"/>
  <c r="I62" i="41" s="1"/>
  <c r="F63" i="41"/>
  <c r="I63" i="41" s="1"/>
  <c r="F62" i="42"/>
  <c r="I62" i="42"/>
  <c r="F63" i="42"/>
  <c r="I63" i="42" s="1"/>
  <c r="F62" i="43"/>
  <c r="I62" i="43" s="1"/>
  <c r="F63" i="43"/>
  <c r="I63" i="43" s="1"/>
  <c r="F62" i="11"/>
  <c r="I62" i="11" s="1"/>
  <c r="F63" i="11"/>
  <c r="I63" i="11"/>
  <c r="D74" i="11" l="1"/>
  <c r="G74" i="1" l="1"/>
  <c r="G74" i="11"/>
  <c r="G74" i="7"/>
  <c r="G74" i="13"/>
  <c r="G74" i="9"/>
  <c r="G74" i="8"/>
  <c r="G74" i="3"/>
  <c r="G74" i="6"/>
  <c r="G74" i="10"/>
  <c r="G74" i="12"/>
  <c r="G74" i="14"/>
  <c r="G74" i="4"/>
  <c r="G74" i="15"/>
  <c r="G74" i="16"/>
  <c r="G74" i="17"/>
  <c r="G74" i="18"/>
  <c r="G74" i="19"/>
  <c r="G74" i="20"/>
  <c r="G74" i="21"/>
  <c r="G74" i="22"/>
  <c r="G74" i="23"/>
  <c r="G74" i="24"/>
  <c r="G74" i="25"/>
  <c r="G74" i="26"/>
  <c r="G74" i="27"/>
  <c r="G74" i="28"/>
  <c r="G74" i="29"/>
  <c r="G74" i="30"/>
  <c r="G74" i="31"/>
  <c r="G74" i="32"/>
  <c r="G74" i="33"/>
  <c r="G74" i="34"/>
  <c r="G74" i="35"/>
  <c r="G74" i="36"/>
  <c r="G74" i="37"/>
  <c r="G74" i="38"/>
  <c r="G74" i="39"/>
  <c r="G74" i="40"/>
  <c r="G74" i="41"/>
  <c r="G74" i="42"/>
  <c r="G74" i="43"/>
  <c r="G74" i="5"/>
  <c r="E61" i="1" l="1"/>
  <c r="F61" i="1" s="1"/>
  <c r="I61" i="1" s="1"/>
  <c r="E60" i="1"/>
  <c r="F60" i="1" s="1"/>
  <c r="I60" i="1" s="1"/>
  <c r="F60" i="11"/>
  <c r="I60" i="11" s="1"/>
  <c r="F61" i="11"/>
  <c r="I61" i="11" s="1"/>
  <c r="F60" i="7"/>
  <c r="I60" i="7" s="1"/>
  <c r="F61" i="7"/>
  <c r="I61" i="7" s="1"/>
  <c r="F60" i="13"/>
  <c r="I60" i="13" s="1"/>
  <c r="F61" i="13"/>
  <c r="I61" i="13" s="1"/>
  <c r="F60" i="9"/>
  <c r="I60" i="9" s="1"/>
  <c r="F61" i="9"/>
  <c r="I61" i="9" s="1"/>
  <c r="F60" i="8"/>
  <c r="I60" i="8" s="1"/>
  <c r="F61" i="8"/>
  <c r="I61" i="8" s="1"/>
  <c r="F60" i="3"/>
  <c r="I60" i="3" s="1"/>
  <c r="F61" i="3"/>
  <c r="I61" i="3" s="1"/>
  <c r="F60" i="6"/>
  <c r="I60" i="6" s="1"/>
  <c r="F61" i="6"/>
  <c r="I61" i="6" s="1"/>
  <c r="F60" i="5"/>
  <c r="I60" i="5" s="1"/>
  <c r="F61" i="5"/>
  <c r="I61" i="5" s="1"/>
  <c r="F60" i="14"/>
  <c r="I60" i="14" s="1"/>
  <c r="F61" i="14"/>
  <c r="I61" i="14" s="1"/>
  <c r="F60" i="4"/>
  <c r="I60" i="4" s="1"/>
  <c r="F61" i="4"/>
  <c r="I61" i="4" s="1"/>
  <c r="F60" i="15"/>
  <c r="I60" i="15" s="1"/>
  <c r="F61" i="15"/>
  <c r="I61" i="15" s="1"/>
  <c r="F60" i="16"/>
  <c r="I60" i="16" s="1"/>
  <c r="F61" i="16"/>
  <c r="I61" i="16" s="1"/>
  <c r="F60" i="17"/>
  <c r="I60" i="17" s="1"/>
  <c r="F61" i="17"/>
  <c r="I61" i="17" s="1"/>
  <c r="F60" i="18"/>
  <c r="I60" i="18" s="1"/>
  <c r="F61" i="18"/>
  <c r="I61" i="18" s="1"/>
  <c r="F60" i="19"/>
  <c r="I60" i="19" s="1"/>
  <c r="F61" i="19"/>
  <c r="I61" i="19" s="1"/>
  <c r="F60" i="20"/>
  <c r="I60" i="20" s="1"/>
  <c r="F61" i="20"/>
  <c r="I61" i="20" s="1"/>
  <c r="F60" i="21"/>
  <c r="I60" i="21" s="1"/>
  <c r="F61" i="21"/>
  <c r="I61" i="21" s="1"/>
  <c r="F60" i="22"/>
  <c r="I60" i="22" s="1"/>
  <c r="F61" i="22"/>
  <c r="I61" i="22" s="1"/>
  <c r="F60" i="23"/>
  <c r="I60" i="23" s="1"/>
  <c r="F61" i="23"/>
  <c r="I61" i="23" s="1"/>
  <c r="F60" i="24"/>
  <c r="I60" i="24" s="1"/>
  <c r="F61" i="24"/>
  <c r="I61" i="24" s="1"/>
  <c r="F60" i="25"/>
  <c r="I60" i="25" s="1"/>
  <c r="F61" i="25"/>
  <c r="I61" i="25" s="1"/>
  <c r="F60" i="26"/>
  <c r="I60" i="26" s="1"/>
  <c r="F61" i="26"/>
  <c r="I61" i="26" s="1"/>
  <c r="F60" i="27"/>
  <c r="I60" i="27" s="1"/>
  <c r="F61" i="27"/>
  <c r="I61" i="27" s="1"/>
  <c r="F60" i="28"/>
  <c r="I60" i="28" s="1"/>
  <c r="F61" i="28"/>
  <c r="I61" i="28" s="1"/>
  <c r="F60" i="29"/>
  <c r="I60" i="29" s="1"/>
  <c r="F61" i="29"/>
  <c r="I61" i="29" s="1"/>
  <c r="F60" i="30"/>
  <c r="I60" i="30" s="1"/>
  <c r="F61" i="30"/>
  <c r="I61" i="30" s="1"/>
  <c r="F60" i="31"/>
  <c r="I60" i="31" s="1"/>
  <c r="F61" i="31"/>
  <c r="I61" i="31" s="1"/>
  <c r="F60" i="32"/>
  <c r="I60" i="32" s="1"/>
  <c r="F61" i="32"/>
  <c r="I61" i="32" s="1"/>
  <c r="F60" i="33"/>
  <c r="I60" i="33" s="1"/>
  <c r="F61" i="33"/>
  <c r="I61" i="33" s="1"/>
  <c r="F60" i="34"/>
  <c r="I60" i="34" s="1"/>
  <c r="F61" i="34"/>
  <c r="I61" i="34" s="1"/>
  <c r="F60" i="35"/>
  <c r="I60" i="35" s="1"/>
  <c r="F61" i="35"/>
  <c r="I61" i="35" s="1"/>
  <c r="F60" i="36"/>
  <c r="I60" i="36" s="1"/>
  <c r="F61" i="36"/>
  <c r="I61" i="36" s="1"/>
  <c r="F60" i="37"/>
  <c r="I60" i="37" s="1"/>
  <c r="F61" i="37"/>
  <c r="I61" i="37" s="1"/>
  <c r="F60" i="38"/>
  <c r="I60" i="38" s="1"/>
  <c r="F61" i="38"/>
  <c r="I61" i="38" s="1"/>
  <c r="F60" i="39"/>
  <c r="I60" i="39" s="1"/>
  <c r="F61" i="39"/>
  <c r="I61" i="39" s="1"/>
  <c r="F60" i="40"/>
  <c r="I60" i="40" s="1"/>
  <c r="F61" i="40"/>
  <c r="I61" i="40" s="1"/>
  <c r="F60" i="41"/>
  <c r="I60" i="41" s="1"/>
  <c r="F61" i="41"/>
  <c r="I61" i="41" s="1"/>
  <c r="F60" i="42"/>
  <c r="I60" i="42" s="1"/>
  <c r="F61" i="42"/>
  <c r="I61" i="42" s="1"/>
  <c r="F60" i="43"/>
  <c r="I60" i="43" s="1"/>
  <c r="F61" i="43"/>
  <c r="I61" i="43" s="1"/>
  <c r="F60" i="10"/>
  <c r="I60" i="10" s="1"/>
  <c r="F61" i="10"/>
  <c r="I61" i="10" s="1"/>
  <c r="E70" i="1"/>
  <c r="F70" i="1" s="1"/>
  <c r="I70" i="1" s="1"/>
  <c r="E71" i="1"/>
  <c r="F71" i="1" s="1"/>
  <c r="I71" i="1" s="1"/>
  <c r="E72" i="1"/>
  <c r="F72" i="1" s="1"/>
  <c r="I72" i="1" s="1"/>
  <c r="E73" i="1"/>
  <c r="F73" i="1" s="1"/>
  <c r="I73" i="1" s="1"/>
  <c r="F70" i="11"/>
  <c r="I70" i="11" s="1"/>
  <c r="F71" i="11"/>
  <c r="I71" i="11" s="1"/>
  <c r="F72" i="11"/>
  <c r="I72" i="11" s="1"/>
  <c r="F73" i="11"/>
  <c r="I73" i="11" s="1"/>
  <c r="F70" i="7"/>
  <c r="I70" i="7" s="1"/>
  <c r="F71" i="7"/>
  <c r="I71" i="7" s="1"/>
  <c r="F72" i="7"/>
  <c r="I72" i="7" s="1"/>
  <c r="F73" i="7"/>
  <c r="I73" i="7" s="1"/>
  <c r="F70" i="13"/>
  <c r="I70" i="13" s="1"/>
  <c r="F71" i="13"/>
  <c r="I71" i="13" s="1"/>
  <c r="F72" i="13"/>
  <c r="I72" i="13" s="1"/>
  <c r="F73" i="13"/>
  <c r="I73" i="13" s="1"/>
  <c r="F70" i="9"/>
  <c r="I70" i="9" s="1"/>
  <c r="F71" i="9"/>
  <c r="I71" i="9" s="1"/>
  <c r="F72" i="9"/>
  <c r="I72" i="9" s="1"/>
  <c r="F73" i="9"/>
  <c r="I73" i="9" s="1"/>
  <c r="F70" i="8"/>
  <c r="I70" i="8" s="1"/>
  <c r="F71" i="8"/>
  <c r="I71" i="8" s="1"/>
  <c r="F72" i="8"/>
  <c r="I72" i="8" s="1"/>
  <c r="F73" i="8"/>
  <c r="I73" i="8" s="1"/>
  <c r="F70" i="3"/>
  <c r="I70" i="3" s="1"/>
  <c r="F71" i="3"/>
  <c r="I71" i="3" s="1"/>
  <c r="F72" i="3"/>
  <c r="I72" i="3" s="1"/>
  <c r="F73" i="3"/>
  <c r="I73" i="3" s="1"/>
  <c r="F70" i="6"/>
  <c r="I70" i="6" s="1"/>
  <c r="F71" i="6"/>
  <c r="I71" i="6" s="1"/>
  <c r="F72" i="6"/>
  <c r="I72" i="6" s="1"/>
  <c r="F73" i="6"/>
  <c r="I73" i="6" s="1"/>
  <c r="F70" i="5"/>
  <c r="I70" i="5" s="1"/>
  <c r="F71" i="5"/>
  <c r="I71" i="5" s="1"/>
  <c r="F72" i="5"/>
  <c r="I72" i="5" s="1"/>
  <c r="F73" i="5"/>
  <c r="I73" i="5" s="1"/>
  <c r="F70" i="14"/>
  <c r="I70" i="14" s="1"/>
  <c r="F71" i="14"/>
  <c r="I71" i="14" s="1"/>
  <c r="F72" i="14"/>
  <c r="I72" i="14" s="1"/>
  <c r="F73" i="14"/>
  <c r="I73" i="14" s="1"/>
  <c r="F70" i="4"/>
  <c r="I70" i="4" s="1"/>
  <c r="F71" i="4"/>
  <c r="I71" i="4" s="1"/>
  <c r="F72" i="4"/>
  <c r="I72" i="4" s="1"/>
  <c r="F73" i="4"/>
  <c r="I73" i="4" s="1"/>
  <c r="F70" i="15"/>
  <c r="I70" i="15" s="1"/>
  <c r="F71" i="15"/>
  <c r="I71" i="15" s="1"/>
  <c r="F72" i="15"/>
  <c r="I72" i="15" s="1"/>
  <c r="F73" i="15"/>
  <c r="I73" i="15" s="1"/>
  <c r="F70" i="16"/>
  <c r="I70" i="16" s="1"/>
  <c r="F71" i="16"/>
  <c r="I71" i="16" s="1"/>
  <c r="F72" i="16"/>
  <c r="I72" i="16" s="1"/>
  <c r="F73" i="16"/>
  <c r="I73" i="16" s="1"/>
  <c r="F70" i="17"/>
  <c r="I70" i="17" s="1"/>
  <c r="F71" i="17"/>
  <c r="I71" i="17" s="1"/>
  <c r="F72" i="17"/>
  <c r="I72" i="17" s="1"/>
  <c r="F73" i="17"/>
  <c r="I73" i="17" s="1"/>
  <c r="F70" i="18"/>
  <c r="I70" i="18" s="1"/>
  <c r="F71" i="18"/>
  <c r="I71" i="18" s="1"/>
  <c r="F72" i="18"/>
  <c r="I72" i="18" s="1"/>
  <c r="F73" i="18"/>
  <c r="I73" i="18" s="1"/>
  <c r="F70" i="19"/>
  <c r="I70" i="19" s="1"/>
  <c r="F71" i="19"/>
  <c r="I71" i="19" s="1"/>
  <c r="F72" i="19"/>
  <c r="I72" i="19" s="1"/>
  <c r="F73" i="19"/>
  <c r="I73" i="19" s="1"/>
  <c r="F70" i="20"/>
  <c r="I70" i="20" s="1"/>
  <c r="F71" i="20"/>
  <c r="I71" i="20" s="1"/>
  <c r="F72" i="20"/>
  <c r="I72" i="20" s="1"/>
  <c r="F73" i="20"/>
  <c r="I73" i="20" s="1"/>
  <c r="F70" i="21"/>
  <c r="I70" i="21" s="1"/>
  <c r="F71" i="21"/>
  <c r="I71" i="21" s="1"/>
  <c r="F72" i="21"/>
  <c r="I72" i="21" s="1"/>
  <c r="F73" i="21"/>
  <c r="I73" i="21" s="1"/>
  <c r="F70" i="22"/>
  <c r="I70" i="22" s="1"/>
  <c r="F71" i="22"/>
  <c r="I71" i="22" s="1"/>
  <c r="F72" i="22"/>
  <c r="I72" i="22" s="1"/>
  <c r="F73" i="22"/>
  <c r="I73" i="22" s="1"/>
  <c r="F70" i="23"/>
  <c r="I70" i="23" s="1"/>
  <c r="F71" i="23"/>
  <c r="I71" i="23" s="1"/>
  <c r="F72" i="23"/>
  <c r="I72" i="23" s="1"/>
  <c r="F73" i="23"/>
  <c r="I73" i="23" s="1"/>
  <c r="F70" i="24"/>
  <c r="I70" i="24" s="1"/>
  <c r="F71" i="24"/>
  <c r="I71" i="24" s="1"/>
  <c r="F72" i="24"/>
  <c r="I72" i="24" s="1"/>
  <c r="F73" i="24"/>
  <c r="I73" i="24" s="1"/>
  <c r="F70" i="25"/>
  <c r="I70" i="25" s="1"/>
  <c r="F71" i="25"/>
  <c r="I71" i="25" s="1"/>
  <c r="F72" i="25"/>
  <c r="I72" i="25" s="1"/>
  <c r="F73" i="25"/>
  <c r="I73" i="25" s="1"/>
  <c r="F70" i="26"/>
  <c r="I70" i="26" s="1"/>
  <c r="F71" i="26"/>
  <c r="I71" i="26" s="1"/>
  <c r="F72" i="26"/>
  <c r="I72" i="26" s="1"/>
  <c r="F73" i="26"/>
  <c r="I73" i="26" s="1"/>
  <c r="F70" i="27"/>
  <c r="I70" i="27" s="1"/>
  <c r="F71" i="27"/>
  <c r="I71" i="27" s="1"/>
  <c r="F72" i="27"/>
  <c r="I72" i="27" s="1"/>
  <c r="F73" i="27"/>
  <c r="I73" i="27" s="1"/>
  <c r="F70" i="28"/>
  <c r="I70" i="28" s="1"/>
  <c r="F71" i="28"/>
  <c r="I71" i="28" s="1"/>
  <c r="F72" i="28"/>
  <c r="I72" i="28" s="1"/>
  <c r="F73" i="28"/>
  <c r="I73" i="28" s="1"/>
  <c r="F70" i="29"/>
  <c r="I70" i="29" s="1"/>
  <c r="F71" i="29"/>
  <c r="I71" i="29" s="1"/>
  <c r="F72" i="29"/>
  <c r="I72" i="29" s="1"/>
  <c r="F73" i="29"/>
  <c r="I73" i="29" s="1"/>
  <c r="F70" i="30"/>
  <c r="I70" i="30" s="1"/>
  <c r="F71" i="30"/>
  <c r="I71" i="30" s="1"/>
  <c r="F72" i="30"/>
  <c r="I72" i="30" s="1"/>
  <c r="F73" i="30"/>
  <c r="I73" i="30" s="1"/>
  <c r="F70" i="31"/>
  <c r="I70" i="31" s="1"/>
  <c r="F71" i="31"/>
  <c r="I71" i="31" s="1"/>
  <c r="F72" i="31"/>
  <c r="I72" i="31" s="1"/>
  <c r="F73" i="31"/>
  <c r="I73" i="31" s="1"/>
  <c r="F70" i="32"/>
  <c r="I70" i="32" s="1"/>
  <c r="F71" i="32"/>
  <c r="I71" i="32" s="1"/>
  <c r="F72" i="32"/>
  <c r="I72" i="32" s="1"/>
  <c r="F73" i="32"/>
  <c r="I73" i="32" s="1"/>
  <c r="F70" i="33"/>
  <c r="I70" i="33" s="1"/>
  <c r="F71" i="33"/>
  <c r="I71" i="33" s="1"/>
  <c r="F72" i="33"/>
  <c r="I72" i="33" s="1"/>
  <c r="F73" i="33"/>
  <c r="I73" i="33" s="1"/>
  <c r="F70" i="34"/>
  <c r="I70" i="34" s="1"/>
  <c r="F71" i="34"/>
  <c r="I71" i="34" s="1"/>
  <c r="F72" i="34"/>
  <c r="I72" i="34" s="1"/>
  <c r="F73" i="34"/>
  <c r="I73" i="34" s="1"/>
  <c r="F70" i="35"/>
  <c r="I70" i="35" s="1"/>
  <c r="F71" i="35"/>
  <c r="I71" i="35" s="1"/>
  <c r="F72" i="35"/>
  <c r="I72" i="35" s="1"/>
  <c r="F73" i="35"/>
  <c r="I73" i="35" s="1"/>
  <c r="F70" i="36"/>
  <c r="I70" i="36" s="1"/>
  <c r="F71" i="36"/>
  <c r="I71" i="36" s="1"/>
  <c r="F72" i="36"/>
  <c r="I72" i="36" s="1"/>
  <c r="F73" i="36"/>
  <c r="I73" i="36" s="1"/>
  <c r="F70" i="37"/>
  <c r="I70" i="37" s="1"/>
  <c r="F71" i="37"/>
  <c r="I71" i="37" s="1"/>
  <c r="F72" i="37"/>
  <c r="I72" i="37" s="1"/>
  <c r="F73" i="37"/>
  <c r="I73" i="37" s="1"/>
  <c r="F70" i="38"/>
  <c r="I70" i="38" s="1"/>
  <c r="F71" i="38"/>
  <c r="I71" i="38" s="1"/>
  <c r="F72" i="38"/>
  <c r="I72" i="38" s="1"/>
  <c r="F73" i="38"/>
  <c r="I73" i="38" s="1"/>
  <c r="F70" i="39"/>
  <c r="I70" i="39" s="1"/>
  <c r="F71" i="39"/>
  <c r="I71" i="39" s="1"/>
  <c r="F72" i="39"/>
  <c r="I72" i="39" s="1"/>
  <c r="F73" i="39"/>
  <c r="I73" i="39" s="1"/>
  <c r="F70" i="40"/>
  <c r="I70" i="40" s="1"/>
  <c r="F71" i="40"/>
  <c r="I71" i="40" s="1"/>
  <c r="F72" i="40"/>
  <c r="I72" i="40" s="1"/>
  <c r="F73" i="40"/>
  <c r="I73" i="40" s="1"/>
  <c r="F70" i="41"/>
  <c r="I70" i="41" s="1"/>
  <c r="F71" i="41"/>
  <c r="I71" i="41" s="1"/>
  <c r="F72" i="41"/>
  <c r="I72" i="41" s="1"/>
  <c r="F73" i="41"/>
  <c r="I73" i="41" s="1"/>
  <c r="F70" i="42"/>
  <c r="I70" i="42" s="1"/>
  <c r="F71" i="42"/>
  <c r="I71" i="42" s="1"/>
  <c r="F72" i="42"/>
  <c r="I72" i="42" s="1"/>
  <c r="F73" i="42"/>
  <c r="I73" i="42" s="1"/>
  <c r="F70" i="43"/>
  <c r="I70" i="43" s="1"/>
  <c r="F71" i="43"/>
  <c r="I71" i="43" s="1"/>
  <c r="F72" i="43"/>
  <c r="I72" i="43" s="1"/>
  <c r="F73" i="43"/>
  <c r="I73" i="43" s="1"/>
  <c r="F70" i="10"/>
  <c r="I70" i="10" s="1"/>
  <c r="F71" i="10"/>
  <c r="I71" i="10" s="1"/>
  <c r="F72" i="10"/>
  <c r="I72" i="10" s="1"/>
  <c r="F73" i="10"/>
  <c r="I73" i="10" s="1"/>
  <c r="D74" i="7"/>
  <c r="D74" i="13"/>
  <c r="D74" i="9"/>
  <c r="D74" i="8"/>
  <c r="D74" i="3"/>
  <c r="D74" i="6"/>
  <c r="D74" i="5"/>
  <c r="D74" i="14"/>
  <c r="D74" i="4"/>
  <c r="D74" i="15"/>
  <c r="D74" i="16"/>
  <c r="D74" i="17"/>
  <c r="D74" i="18"/>
  <c r="D74" i="19"/>
  <c r="D74" i="20"/>
  <c r="D74" i="21"/>
  <c r="D74" i="22"/>
  <c r="D74" i="23"/>
  <c r="D74" i="24"/>
  <c r="D74" i="25"/>
  <c r="D74" i="26"/>
  <c r="D74" i="27"/>
  <c r="D74" i="28"/>
  <c r="D74" i="29"/>
  <c r="D74" i="30"/>
  <c r="D74" i="31"/>
  <c r="D74" i="32"/>
  <c r="D74" i="33"/>
  <c r="D74" i="34"/>
  <c r="D74" i="35"/>
  <c r="D74" i="36"/>
  <c r="D74" i="37"/>
  <c r="D74" i="38"/>
  <c r="D74" i="39"/>
  <c r="D74" i="40"/>
  <c r="D74" i="41"/>
  <c r="D74" i="42"/>
  <c r="D74" i="43"/>
  <c r="D74" i="10"/>
  <c r="F61" i="12"/>
  <c r="I61" i="12" s="1"/>
  <c r="F64" i="12"/>
  <c r="I64" i="12" s="1"/>
  <c r="F65" i="12"/>
  <c r="I65" i="12" s="1"/>
  <c r="D74" i="12"/>
  <c r="F73" i="12"/>
  <c r="I73" i="12" s="1"/>
  <c r="F70" i="12"/>
  <c r="I70" i="12" s="1"/>
  <c r="F71" i="12"/>
  <c r="I71" i="12" s="1"/>
  <c r="F72" i="12"/>
  <c r="I72" i="12" s="1"/>
  <c r="E59" i="1" l="1"/>
  <c r="F59" i="1" s="1"/>
  <c r="I59" i="1" s="1"/>
  <c r="F64" i="1"/>
  <c r="I64" i="1" s="1"/>
  <c r="F65" i="1"/>
  <c r="I65" i="1" s="1"/>
  <c r="E66" i="1"/>
  <c r="F66" i="1" s="1"/>
  <c r="I66" i="1" s="1"/>
  <c r="E67" i="1"/>
  <c r="F67" i="1" s="1"/>
  <c r="I67" i="1" s="1"/>
  <c r="E68" i="1"/>
  <c r="F68" i="1" s="1"/>
  <c r="I68" i="1" s="1"/>
  <c r="E69" i="1"/>
  <c r="F69" i="1" s="1"/>
  <c r="I69" i="1" s="1"/>
  <c r="F64" i="11"/>
  <c r="I64" i="11" s="1"/>
  <c r="F65" i="11"/>
  <c r="I65" i="11" s="1"/>
  <c r="F66" i="11"/>
  <c r="I66" i="11" s="1"/>
  <c r="F67" i="11"/>
  <c r="I67" i="11" s="1"/>
  <c r="F68" i="11"/>
  <c r="I68" i="11" s="1"/>
  <c r="F69" i="11"/>
  <c r="I69" i="11" s="1"/>
  <c r="F64" i="7"/>
  <c r="I64" i="7" s="1"/>
  <c r="F65" i="7"/>
  <c r="I65" i="7" s="1"/>
  <c r="F66" i="7"/>
  <c r="I66" i="7" s="1"/>
  <c r="F67" i="7"/>
  <c r="I67" i="7" s="1"/>
  <c r="F68" i="7"/>
  <c r="I68" i="7" s="1"/>
  <c r="F69" i="7"/>
  <c r="I69" i="7" s="1"/>
  <c r="F64" i="13"/>
  <c r="I64" i="13" s="1"/>
  <c r="F65" i="13"/>
  <c r="I65" i="13" s="1"/>
  <c r="F66" i="13"/>
  <c r="I66" i="13" s="1"/>
  <c r="F67" i="13"/>
  <c r="I67" i="13" s="1"/>
  <c r="F68" i="13"/>
  <c r="I68" i="13" s="1"/>
  <c r="F69" i="13"/>
  <c r="I69" i="13" s="1"/>
  <c r="F64" i="9"/>
  <c r="I64" i="9" s="1"/>
  <c r="F65" i="9"/>
  <c r="I65" i="9" s="1"/>
  <c r="F66" i="9"/>
  <c r="I66" i="9" s="1"/>
  <c r="F67" i="9"/>
  <c r="I67" i="9" s="1"/>
  <c r="F68" i="9"/>
  <c r="I68" i="9" s="1"/>
  <c r="F69" i="9"/>
  <c r="I69" i="9" s="1"/>
  <c r="F64" i="8"/>
  <c r="I64" i="8" s="1"/>
  <c r="F65" i="8"/>
  <c r="I65" i="8" s="1"/>
  <c r="F66" i="8"/>
  <c r="I66" i="8" s="1"/>
  <c r="F67" i="8"/>
  <c r="I67" i="8" s="1"/>
  <c r="F68" i="8"/>
  <c r="I68" i="8" s="1"/>
  <c r="F69" i="8"/>
  <c r="I69" i="8" s="1"/>
  <c r="F64" i="3"/>
  <c r="I64" i="3" s="1"/>
  <c r="F65" i="3"/>
  <c r="I65" i="3" s="1"/>
  <c r="F66" i="3"/>
  <c r="I66" i="3" s="1"/>
  <c r="F67" i="3"/>
  <c r="I67" i="3" s="1"/>
  <c r="F68" i="3"/>
  <c r="I68" i="3" s="1"/>
  <c r="F69" i="3"/>
  <c r="I69" i="3" s="1"/>
  <c r="F64" i="6"/>
  <c r="I64" i="6" s="1"/>
  <c r="F65" i="6"/>
  <c r="I65" i="6" s="1"/>
  <c r="F66" i="6"/>
  <c r="I66" i="6" s="1"/>
  <c r="F67" i="6"/>
  <c r="I67" i="6" s="1"/>
  <c r="F68" i="6"/>
  <c r="I68" i="6" s="1"/>
  <c r="F69" i="6"/>
  <c r="I69" i="6" s="1"/>
  <c r="F64" i="5"/>
  <c r="I64" i="5" s="1"/>
  <c r="F65" i="5"/>
  <c r="I65" i="5" s="1"/>
  <c r="F66" i="5"/>
  <c r="I66" i="5" s="1"/>
  <c r="F67" i="5"/>
  <c r="I67" i="5" s="1"/>
  <c r="F68" i="5"/>
  <c r="I68" i="5" s="1"/>
  <c r="F69" i="5"/>
  <c r="I69" i="5" s="1"/>
  <c r="F64" i="10"/>
  <c r="I64" i="10" s="1"/>
  <c r="F65" i="10"/>
  <c r="I65" i="10" s="1"/>
  <c r="F66" i="10"/>
  <c r="I66" i="10" s="1"/>
  <c r="F67" i="10"/>
  <c r="I67" i="10" s="1"/>
  <c r="F68" i="10"/>
  <c r="I68" i="10" s="1"/>
  <c r="F69" i="10"/>
  <c r="I69" i="10" s="1"/>
  <c r="F66" i="12"/>
  <c r="I66" i="12" s="1"/>
  <c r="F67" i="12"/>
  <c r="I67" i="12" s="1"/>
  <c r="F68" i="12"/>
  <c r="I68" i="12" s="1"/>
  <c r="F69" i="12"/>
  <c r="I69" i="12" s="1"/>
  <c r="F64" i="4"/>
  <c r="I64" i="4" s="1"/>
  <c r="F65" i="4"/>
  <c r="I65" i="4" s="1"/>
  <c r="F66" i="4"/>
  <c r="I66" i="4" s="1"/>
  <c r="F67" i="4"/>
  <c r="I67" i="4" s="1"/>
  <c r="F68" i="4"/>
  <c r="I68" i="4" s="1"/>
  <c r="F69" i="4"/>
  <c r="I69" i="4" s="1"/>
  <c r="F64" i="15"/>
  <c r="I64" i="15" s="1"/>
  <c r="F65" i="15"/>
  <c r="I65" i="15" s="1"/>
  <c r="F66" i="15"/>
  <c r="I66" i="15" s="1"/>
  <c r="F67" i="15"/>
  <c r="I67" i="15" s="1"/>
  <c r="F68" i="15"/>
  <c r="I68" i="15" s="1"/>
  <c r="F69" i="15"/>
  <c r="I69" i="15" s="1"/>
  <c r="F64" i="16"/>
  <c r="I64" i="16" s="1"/>
  <c r="F65" i="16"/>
  <c r="I65" i="16" s="1"/>
  <c r="F66" i="16"/>
  <c r="I66" i="16" s="1"/>
  <c r="F67" i="16"/>
  <c r="I67" i="16" s="1"/>
  <c r="F68" i="16"/>
  <c r="I68" i="16" s="1"/>
  <c r="F69" i="16"/>
  <c r="I69" i="16" s="1"/>
  <c r="F64" i="17"/>
  <c r="I64" i="17" s="1"/>
  <c r="F65" i="17"/>
  <c r="I65" i="17" s="1"/>
  <c r="F66" i="17"/>
  <c r="I66" i="17" s="1"/>
  <c r="F67" i="17"/>
  <c r="I67" i="17" s="1"/>
  <c r="F68" i="17"/>
  <c r="I68" i="17" s="1"/>
  <c r="F69" i="17"/>
  <c r="I69" i="17" s="1"/>
  <c r="F64" i="18"/>
  <c r="I64" i="18" s="1"/>
  <c r="F65" i="18"/>
  <c r="I65" i="18" s="1"/>
  <c r="F66" i="18"/>
  <c r="I66" i="18" s="1"/>
  <c r="F67" i="18"/>
  <c r="I67" i="18" s="1"/>
  <c r="F68" i="18"/>
  <c r="I68" i="18" s="1"/>
  <c r="F69" i="18"/>
  <c r="I69" i="18" s="1"/>
  <c r="F64" i="19"/>
  <c r="I64" i="19" s="1"/>
  <c r="F65" i="19"/>
  <c r="I65" i="19" s="1"/>
  <c r="F66" i="19"/>
  <c r="I66" i="19" s="1"/>
  <c r="F67" i="19"/>
  <c r="I67" i="19" s="1"/>
  <c r="F68" i="19"/>
  <c r="I68" i="19" s="1"/>
  <c r="F69" i="19"/>
  <c r="I69" i="19" s="1"/>
  <c r="F64" i="20"/>
  <c r="I64" i="20" s="1"/>
  <c r="F65" i="20"/>
  <c r="I65" i="20" s="1"/>
  <c r="F66" i="20"/>
  <c r="I66" i="20" s="1"/>
  <c r="F67" i="20"/>
  <c r="I67" i="20" s="1"/>
  <c r="F68" i="20"/>
  <c r="I68" i="20" s="1"/>
  <c r="F69" i="20"/>
  <c r="I69" i="20" s="1"/>
  <c r="F64" i="21"/>
  <c r="I64" i="21" s="1"/>
  <c r="F65" i="21"/>
  <c r="I65" i="21" s="1"/>
  <c r="F66" i="21"/>
  <c r="I66" i="21" s="1"/>
  <c r="F67" i="21"/>
  <c r="I67" i="21" s="1"/>
  <c r="F68" i="21"/>
  <c r="I68" i="21" s="1"/>
  <c r="F69" i="21"/>
  <c r="I69" i="21" s="1"/>
  <c r="F64" i="22"/>
  <c r="I64" i="22" s="1"/>
  <c r="F65" i="22"/>
  <c r="I65" i="22" s="1"/>
  <c r="F66" i="22"/>
  <c r="I66" i="22" s="1"/>
  <c r="F67" i="22"/>
  <c r="I67" i="22" s="1"/>
  <c r="F68" i="22"/>
  <c r="I68" i="22" s="1"/>
  <c r="F69" i="22"/>
  <c r="I69" i="22" s="1"/>
  <c r="F64" i="23"/>
  <c r="I64" i="23" s="1"/>
  <c r="F65" i="23"/>
  <c r="I65" i="23" s="1"/>
  <c r="F66" i="23"/>
  <c r="I66" i="23" s="1"/>
  <c r="F67" i="23"/>
  <c r="I67" i="23" s="1"/>
  <c r="F68" i="23"/>
  <c r="I68" i="23" s="1"/>
  <c r="F69" i="23"/>
  <c r="I69" i="23" s="1"/>
  <c r="F64" i="24"/>
  <c r="I64" i="24" s="1"/>
  <c r="F65" i="24"/>
  <c r="I65" i="24" s="1"/>
  <c r="F66" i="24"/>
  <c r="I66" i="24" s="1"/>
  <c r="F67" i="24"/>
  <c r="I67" i="24" s="1"/>
  <c r="F68" i="24"/>
  <c r="I68" i="24" s="1"/>
  <c r="F69" i="24"/>
  <c r="I69" i="24" s="1"/>
  <c r="F64" i="25"/>
  <c r="I64" i="25" s="1"/>
  <c r="F65" i="25"/>
  <c r="I65" i="25" s="1"/>
  <c r="F66" i="25"/>
  <c r="I66" i="25" s="1"/>
  <c r="F67" i="25"/>
  <c r="I67" i="25" s="1"/>
  <c r="F68" i="25"/>
  <c r="I68" i="25" s="1"/>
  <c r="F69" i="25"/>
  <c r="I69" i="25" s="1"/>
  <c r="F64" i="26"/>
  <c r="I64" i="26" s="1"/>
  <c r="F65" i="26"/>
  <c r="I65" i="26" s="1"/>
  <c r="F66" i="26"/>
  <c r="I66" i="26" s="1"/>
  <c r="F67" i="26"/>
  <c r="I67" i="26" s="1"/>
  <c r="F68" i="26"/>
  <c r="I68" i="26" s="1"/>
  <c r="F69" i="26"/>
  <c r="I69" i="26" s="1"/>
  <c r="F64" i="27"/>
  <c r="I64" i="27" s="1"/>
  <c r="F65" i="27"/>
  <c r="I65" i="27" s="1"/>
  <c r="F66" i="27"/>
  <c r="I66" i="27" s="1"/>
  <c r="F67" i="27"/>
  <c r="I67" i="27" s="1"/>
  <c r="F68" i="27"/>
  <c r="I68" i="27" s="1"/>
  <c r="F69" i="27"/>
  <c r="I69" i="27" s="1"/>
  <c r="F64" i="28"/>
  <c r="I64" i="28" s="1"/>
  <c r="F65" i="28"/>
  <c r="I65" i="28" s="1"/>
  <c r="F66" i="28"/>
  <c r="I66" i="28" s="1"/>
  <c r="F67" i="28"/>
  <c r="I67" i="28" s="1"/>
  <c r="F68" i="28"/>
  <c r="I68" i="28" s="1"/>
  <c r="F69" i="28"/>
  <c r="I69" i="28" s="1"/>
  <c r="F64" i="29"/>
  <c r="I64" i="29" s="1"/>
  <c r="F65" i="29"/>
  <c r="I65" i="29" s="1"/>
  <c r="F66" i="29"/>
  <c r="I66" i="29" s="1"/>
  <c r="F67" i="29"/>
  <c r="I67" i="29" s="1"/>
  <c r="F68" i="29"/>
  <c r="I68" i="29" s="1"/>
  <c r="F69" i="29"/>
  <c r="I69" i="29" s="1"/>
  <c r="F64" i="30"/>
  <c r="I64" i="30" s="1"/>
  <c r="F65" i="30"/>
  <c r="I65" i="30" s="1"/>
  <c r="F66" i="30"/>
  <c r="I66" i="30" s="1"/>
  <c r="F67" i="30"/>
  <c r="I67" i="30" s="1"/>
  <c r="F68" i="30"/>
  <c r="I68" i="30" s="1"/>
  <c r="F69" i="30"/>
  <c r="I69" i="30" s="1"/>
  <c r="F64" i="31"/>
  <c r="I64" i="31" s="1"/>
  <c r="F65" i="31"/>
  <c r="I65" i="31" s="1"/>
  <c r="F66" i="31"/>
  <c r="I66" i="31" s="1"/>
  <c r="F67" i="31"/>
  <c r="I67" i="31" s="1"/>
  <c r="F68" i="31"/>
  <c r="I68" i="31" s="1"/>
  <c r="F69" i="31"/>
  <c r="I69" i="31" s="1"/>
  <c r="F64" i="32"/>
  <c r="I64" i="32" s="1"/>
  <c r="F65" i="32"/>
  <c r="I65" i="32" s="1"/>
  <c r="F66" i="32"/>
  <c r="I66" i="32" s="1"/>
  <c r="F67" i="32"/>
  <c r="I67" i="32" s="1"/>
  <c r="F68" i="32"/>
  <c r="I68" i="32" s="1"/>
  <c r="F69" i="32"/>
  <c r="I69" i="32" s="1"/>
  <c r="F64" i="33"/>
  <c r="I64" i="33" s="1"/>
  <c r="F65" i="33"/>
  <c r="I65" i="33" s="1"/>
  <c r="F66" i="33"/>
  <c r="I66" i="33" s="1"/>
  <c r="F67" i="33"/>
  <c r="I67" i="33" s="1"/>
  <c r="F68" i="33"/>
  <c r="I68" i="33" s="1"/>
  <c r="F69" i="33"/>
  <c r="I69" i="33" s="1"/>
  <c r="F64" i="34"/>
  <c r="I64" i="34" s="1"/>
  <c r="F65" i="34"/>
  <c r="I65" i="34" s="1"/>
  <c r="F66" i="34"/>
  <c r="I66" i="34" s="1"/>
  <c r="F67" i="34"/>
  <c r="I67" i="34" s="1"/>
  <c r="F68" i="34"/>
  <c r="I68" i="34" s="1"/>
  <c r="F69" i="34"/>
  <c r="I69" i="34" s="1"/>
  <c r="F64" i="35"/>
  <c r="I64" i="35" s="1"/>
  <c r="F65" i="35"/>
  <c r="I65" i="35" s="1"/>
  <c r="F66" i="35"/>
  <c r="I66" i="35" s="1"/>
  <c r="F67" i="35"/>
  <c r="I67" i="35" s="1"/>
  <c r="F68" i="35"/>
  <c r="I68" i="35" s="1"/>
  <c r="F69" i="35"/>
  <c r="I69" i="35" s="1"/>
  <c r="F64" i="36"/>
  <c r="I64" i="36" s="1"/>
  <c r="F65" i="36"/>
  <c r="I65" i="36" s="1"/>
  <c r="F66" i="36"/>
  <c r="I66" i="36" s="1"/>
  <c r="F67" i="36"/>
  <c r="I67" i="36" s="1"/>
  <c r="F68" i="36"/>
  <c r="I68" i="36" s="1"/>
  <c r="F69" i="36"/>
  <c r="I69" i="36" s="1"/>
  <c r="F64" i="37"/>
  <c r="I64" i="37" s="1"/>
  <c r="F65" i="37"/>
  <c r="I65" i="37" s="1"/>
  <c r="F66" i="37"/>
  <c r="I66" i="37" s="1"/>
  <c r="F67" i="37"/>
  <c r="I67" i="37" s="1"/>
  <c r="F68" i="37"/>
  <c r="I68" i="37" s="1"/>
  <c r="F69" i="37"/>
  <c r="I69" i="37" s="1"/>
  <c r="F64" i="38"/>
  <c r="I64" i="38" s="1"/>
  <c r="F65" i="38"/>
  <c r="I65" i="38" s="1"/>
  <c r="F66" i="38"/>
  <c r="I66" i="38" s="1"/>
  <c r="F67" i="38"/>
  <c r="I67" i="38" s="1"/>
  <c r="F68" i="38"/>
  <c r="I68" i="38" s="1"/>
  <c r="F69" i="38"/>
  <c r="I69" i="38" s="1"/>
  <c r="F64" i="39"/>
  <c r="I64" i="39" s="1"/>
  <c r="F65" i="39"/>
  <c r="I65" i="39" s="1"/>
  <c r="F66" i="39"/>
  <c r="I66" i="39" s="1"/>
  <c r="F67" i="39"/>
  <c r="I67" i="39" s="1"/>
  <c r="F68" i="39"/>
  <c r="I68" i="39" s="1"/>
  <c r="F69" i="39"/>
  <c r="I69" i="39" s="1"/>
  <c r="F64" i="40"/>
  <c r="I64" i="40" s="1"/>
  <c r="F65" i="40"/>
  <c r="I65" i="40" s="1"/>
  <c r="F66" i="40"/>
  <c r="I66" i="40" s="1"/>
  <c r="F67" i="40"/>
  <c r="I67" i="40" s="1"/>
  <c r="F68" i="40"/>
  <c r="I68" i="40" s="1"/>
  <c r="F69" i="40"/>
  <c r="I69" i="40" s="1"/>
  <c r="F64" i="41"/>
  <c r="I64" i="41" s="1"/>
  <c r="F65" i="41"/>
  <c r="I65" i="41" s="1"/>
  <c r="F66" i="41"/>
  <c r="I66" i="41" s="1"/>
  <c r="F67" i="41"/>
  <c r="I67" i="41" s="1"/>
  <c r="F68" i="41"/>
  <c r="I68" i="41" s="1"/>
  <c r="F69" i="41"/>
  <c r="I69" i="41" s="1"/>
  <c r="F64" i="42"/>
  <c r="I64" i="42" s="1"/>
  <c r="F65" i="42"/>
  <c r="I65" i="42" s="1"/>
  <c r="F66" i="42"/>
  <c r="I66" i="42" s="1"/>
  <c r="F67" i="42"/>
  <c r="I67" i="42" s="1"/>
  <c r="F68" i="42"/>
  <c r="I68" i="42" s="1"/>
  <c r="F69" i="42"/>
  <c r="I69" i="42" s="1"/>
  <c r="F64" i="43"/>
  <c r="I64" i="43" s="1"/>
  <c r="F65" i="43"/>
  <c r="I65" i="43" s="1"/>
  <c r="F66" i="43"/>
  <c r="I66" i="43" s="1"/>
  <c r="F67" i="43"/>
  <c r="I67" i="43" s="1"/>
  <c r="F68" i="43"/>
  <c r="I68" i="43" s="1"/>
  <c r="F69" i="43"/>
  <c r="I69" i="43" s="1"/>
  <c r="F64" i="14"/>
  <c r="I64" i="14" s="1"/>
  <c r="F65" i="14"/>
  <c r="I65" i="14" s="1"/>
  <c r="F66" i="14"/>
  <c r="I66" i="14" s="1"/>
  <c r="F67" i="14"/>
  <c r="I67" i="14" s="1"/>
  <c r="F68" i="14"/>
  <c r="I68" i="14" s="1"/>
  <c r="F69" i="14"/>
  <c r="I69" i="14" s="1"/>
  <c r="F59" i="11" l="1"/>
  <c r="I59" i="11" s="1"/>
  <c r="F59" i="7"/>
  <c r="I59" i="7" s="1"/>
  <c r="F59" i="13"/>
  <c r="I59" i="13" s="1"/>
  <c r="F59" i="9"/>
  <c r="I59" i="9" s="1"/>
  <c r="F59" i="8"/>
  <c r="I59" i="8" s="1"/>
  <c r="F59" i="3"/>
  <c r="I59" i="3" s="1"/>
  <c r="F59" i="6"/>
  <c r="I59" i="6" s="1"/>
  <c r="F59" i="5"/>
  <c r="I59" i="5" s="1"/>
  <c r="F59" i="10"/>
  <c r="I59" i="10" s="1"/>
  <c r="F59" i="12"/>
  <c r="I59" i="12" s="1"/>
  <c r="F60" i="12"/>
  <c r="I60" i="12" s="1"/>
  <c r="F59" i="14"/>
  <c r="I59" i="14" s="1"/>
  <c r="F59" i="4"/>
  <c r="I59" i="4" s="1"/>
  <c r="F59" i="15"/>
  <c r="I59" i="15" s="1"/>
  <c r="F59" i="16"/>
  <c r="I59" i="16" s="1"/>
  <c r="F59" i="17"/>
  <c r="I59" i="17" s="1"/>
  <c r="F59" i="18"/>
  <c r="I59" i="18" s="1"/>
  <c r="F59" i="19"/>
  <c r="I59" i="19" s="1"/>
  <c r="F59" i="20"/>
  <c r="I59" i="20" s="1"/>
  <c r="F59" i="21"/>
  <c r="I59" i="21" s="1"/>
  <c r="F59" i="22"/>
  <c r="I59" i="22" s="1"/>
  <c r="F59" i="23"/>
  <c r="I59" i="23" s="1"/>
  <c r="F59" i="24"/>
  <c r="I59" i="24" s="1"/>
  <c r="F59" i="25"/>
  <c r="I59" i="25" s="1"/>
  <c r="F59" i="26"/>
  <c r="I59" i="26" s="1"/>
  <c r="F59" i="27"/>
  <c r="I59" i="27" s="1"/>
  <c r="F59" i="28"/>
  <c r="I59" i="28" s="1"/>
  <c r="F59" i="29"/>
  <c r="I59" i="29" s="1"/>
  <c r="F59" i="30"/>
  <c r="I59" i="30" s="1"/>
  <c r="F59" i="31"/>
  <c r="I59" i="31" s="1"/>
  <c r="F59" i="32"/>
  <c r="I59" i="32" s="1"/>
  <c r="F59" i="33"/>
  <c r="I59" i="33" s="1"/>
  <c r="F59" i="34"/>
  <c r="I59" i="34" s="1"/>
  <c r="F59" i="35"/>
  <c r="I59" i="35" s="1"/>
  <c r="F59" i="36"/>
  <c r="I59" i="36" s="1"/>
  <c r="F59" i="37"/>
  <c r="I59" i="37" s="1"/>
  <c r="F59" i="38"/>
  <c r="I59" i="38" s="1"/>
  <c r="F59" i="39"/>
  <c r="I59" i="39" s="1"/>
  <c r="F59" i="40"/>
  <c r="I59" i="40" s="1"/>
  <c r="F59" i="41"/>
  <c r="I59" i="41" s="1"/>
  <c r="F59" i="42"/>
  <c r="I59" i="42" s="1"/>
  <c r="F59" i="43"/>
  <c r="I59" i="43" s="1"/>
  <c r="F13" i="4" l="1"/>
  <c r="I13" i="4" s="1"/>
  <c r="E41" i="1" l="1"/>
  <c r="F41" i="1" s="1"/>
  <c r="I41" i="1" s="1"/>
  <c r="E42" i="1"/>
  <c r="F42" i="1" s="1"/>
  <c r="I42" i="1" s="1"/>
  <c r="E43" i="1"/>
  <c r="F43" i="1" s="1"/>
  <c r="I43" i="1" s="1"/>
  <c r="E44" i="1"/>
  <c r="F44" i="1" s="1"/>
  <c r="I44" i="1" s="1"/>
  <c r="E45" i="1"/>
  <c r="F45" i="1" s="1"/>
  <c r="I45" i="1" s="1"/>
  <c r="E46" i="1"/>
  <c r="F46" i="1" s="1"/>
  <c r="I46" i="1" s="1"/>
  <c r="E47" i="1"/>
  <c r="F47" i="1" s="1"/>
  <c r="I47" i="1" s="1"/>
  <c r="E48" i="1"/>
  <c r="F48" i="1" s="1"/>
  <c r="I48" i="1" s="1"/>
  <c r="E49" i="1"/>
  <c r="F49" i="1" s="1"/>
  <c r="I49" i="1" s="1"/>
  <c r="E50" i="1"/>
  <c r="F50" i="1" s="1"/>
  <c r="I50" i="1" s="1"/>
  <c r="E51" i="1"/>
  <c r="F51" i="1" s="1"/>
  <c r="I51" i="1" s="1"/>
  <c r="E52" i="1"/>
  <c r="F52" i="1" s="1"/>
  <c r="I52" i="1" s="1"/>
  <c r="E53" i="1"/>
  <c r="F53" i="1" s="1"/>
  <c r="I53" i="1" s="1"/>
  <c r="E54" i="1"/>
  <c r="F54" i="1" s="1"/>
  <c r="I54" i="1" s="1"/>
  <c r="E55" i="1"/>
  <c r="F55" i="1" s="1"/>
  <c r="I55" i="1" s="1"/>
  <c r="E56" i="1"/>
  <c r="F56" i="1" s="1"/>
  <c r="I56" i="1" s="1"/>
  <c r="E57" i="1"/>
  <c r="F57" i="1" s="1"/>
  <c r="I57" i="1" s="1"/>
  <c r="E58" i="1"/>
  <c r="F58" i="1" s="1"/>
  <c r="I58" i="1" s="1"/>
  <c r="F41" i="11"/>
  <c r="I41" i="11" s="1"/>
  <c r="F42" i="11"/>
  <c r="I42" i="11" s="1"/>
  <c r="F43" i="11"/>
  <c r="I43" i="11" s="1"/>
  <c r="F44" i="11"/>
  <c r="I44" i="11" s="1"/>
  <c r="F45" i="11"/>
  <c r="I45" i="11" s="1"/>
  <c r="F46" i="11"/>
  <c r="I46" i="11" s="1"/>
  <c r="F47" i="11"/>
  <c r="I47" i="11" s="1"/>
  <c r="F48" i="11"/>
  <c r="I48" i="11" s="1"/>
  <c r="F49" i="11"/>
  <c r="I49" i="11" s="1"/>
  <c r="F50" i="11"/>
  <c r="I50" i="11" s="1"/>
  <c r="F51" i="11"/>
  <c r="I51" i="11" s="1"/>
  <c r="F52" i="11"/>
  <c r="I52" i="11" s="1"/>
  <c r="F53" i="11"/>
  <c r="I53" i="11" s="1"/>
  <c r="F54" i="11"/>
  <c r="I54" i="11" s="1"/>
  <c r="F55" i="11"/>
  <c r="I55" i="11" s="1"/>
  <c r="F56" i="11"/>
  <c r="I56" i="11" s="1"/>
  <c r="F57" i="11"/>
  <c r="I57" i="11" s="1"/>
  <c r="F58" i="11"/>
  <c r="I58" i="11" s="1"/>
  <c r="F41" i="7"/>
  <c r="I41" i="7" s="1"/>
  <c r="F42" i="7"/>
  <c r="I42" i="7" s="1"/>
  <c r="F43" i="7"/>
  <c r="I43" i="7" s="1"/>
  <c r="F44" i="7"/>
  <c r="I44" i="7" s="1"/>
  <c r="F45" i="7"/>
  <c r="I45" i="7" s="1"/>
  <c r="F46" i="7"/>
  <c r="I46" i="7" s="1"/>
  <c r="F47" i="7"/>
  <c r="I47" i="7" s="1"/>
  <c r="F48" i="7"/>
  <c r="I48" i="7" s="1"/>
  <c r="F49" i="7"/>
  <c r="I49" i="7" s="1"/>
  <c r="F50" i="7"/>
  <c r="I50" i="7" s="1"/>
  <c r="F51" i="7"/>
  <c r="I51" i="7" s="1"/>
  <c r="F52" i="7"/>
  <c r="I52" i="7" s="1"/>
  <c r="F53" i="7"/>
  <c r="I53" i="7" s="1"/>
  <c r="F54" i="7"/>
  <c r="I54" i="7" s="1"/>
  <c r="F55" i="7"/>
  <c r="I55" i="7" s="1"/>
  <c r="F56" i="7"/>
  <c r="I56" i="7" s="1"/>
  <c r="F57" i="7"/>
  <c r="I57" i="7" s="1"/>
  <c r="F58" i="7"/>
  <c r="I58" i="7" s="1"/>
  <c r="F41" i="9"/>
  <c r="I41" i="9" s="1"/>
  <c r="F42" i="9"/>
  <c r="I42" i="9" s="1"/>
  <c r="F43" i="9"/>
  <c r="I43" i="9" s="1"/>
  <c r="F44" i="9"/>
  <c r="I44" i="9" s="1"/>
  <c r="F45" i="9"/>
  <c r="I45" i="9" s="1"/>
  <c r="F46" i="9"/>
  <c r="I46" i="9" s="1"/>
  <c r="F47" i="9"/>
  <c r="I47" i="9" s="1"/>
  <c r="F48" i="9"/>
  <c r="I48" i="9" s="1"/>
  <c r="F49" i="9"/>
  <c r="I49" i="9" s="1"/>
  <c r="F50" i="9"/>
  <c r="I50" i="9" s="1"/>
  <c r="F51" i="9"/>
  <c r="I51" i="9" s="1"/>
  <c r="F52" i="9"/>
  <c r="I52" i="9" s="1"/>
  <c r="F53" i="9"/>
  <c r="I53" i="9" s="1"/>
  <c r="F54" i="9"/>
  <c r="I54" i="9" s="1"/>
  <c r="F55" i="9"/>
  <c r="I55" i="9" s="1"/>
  <c r="F56" i="9"/>
  <c r="I56" i="9" s="1"/>
  <c r="F57" i="9"/>
  <c r="I57" i="9" s="1"/>
  <c r="F58" i="9"/>
  <c r="I58" i="9" s="1"/>
  <c r="F41" i="8"/>
  <c r="I41" i="8" s="1"/>
  <c r="F42" i="8"/>
  <c r="I42" i="8" s="1"/>
  <c r="F43" i="8"/>
  <c r="I43" i="8" s="1"/>
  <c r="F44" i="8"/>
  <c r="I44" i="8" s="1"/>
  <c r="F45" i="8"/>
  <c r="I45" i="8" s="1"/>
  <c r="F46" i="8"/>
  <c r="I46" i="8" s="1"/>
  <c r="F47" i="8"/>
  <c r="I47" i="8" s="1"/>
  <c r="F48" i="8"/>
  <c r="I48" i="8" s="1"/>
  <c r="F49" i="8"/>
  <c r="I49" i="8" s="1"/>
  <c r="F50" i="8"/>
  <c r="I50" i="8" s="1"/>
  <c r="F51" i="8"/>
  <c r="I51" i="8" s="1"/>
  <c r="F52" i="8"/>
  <c r="I52" i="8" s="1"/>
  <c r="F53" i="8"/>
  <c r="I53" i="8" s="1"/>
  <c r="F54" i="8"/>
  <c r="I54" i="8" s="1"/>
  <c r="F55" i="8"/>
  <c r="I55" i="8" s="1"/>
  <c r="F56" i="8"/>
  <c r="I56" i="8" s="1"/>
  <c r="F57" i="8"/>
  <c r="I57" i="8" s="1"/>
  <c r="F58" i="8"/>
  <c r="I58" i="8" s="1"/>
  <c r="F41" i="3"/>
  <c r="I41" i="3" s="1"/>
  <c r="F42" i="3"/>
  <c r="I42" i="3" s="1"/>
  <c r="F43" i="3"/>
  <c r="I43" i="3" s="1"/>
  <c r="F44" i="3"/>
  <c r="I44" i="3" s="1"/>
  <c r="F45" i="3"/>
  <c r="I45" i="3" s="1"/>
  <c r="F46" i="3"/>
  <c r="I46" i="3" s="1"/>
  <c r="F47" i="3"/>
  <c r="I47" i="3" s="1"/>
  <c r="F48" i="3"/>
  <c r="I48" i="3" s="1"/>
  <c r="F49" i="3"/>
  <c r="I49" i="3" s="1"/>
  <c r="F50" i="3"/>
  <c r="I50" i="3" s="1"/>
  <c r="F51" i="3"/>
  <c r="I51" i="3" s="1"/>
  <c r="F52" i="3"/>
  <c r="I52" i="3" s="1"/>
  <c r="F53" i="3"/>
  <c r="I53" i="3" s="1"/>
  <c r="F54" i="3"/>
  <c r="I54" i="3" s="1"/>
  <c r="F55" i="3"/>
  <c r="I55" i="3" s="1"/>
  <c r="F56" i="3"/>
  <c r="I56" i="3" s="1"/>
  <c r="F57" i="3"/>
  <c r="I57" i="3" s="1"/>
  <c r="F58" i="3"/>
  <c r="I58" i="3" s="1"/>
  <c r="F41" i="6"/>
  <c r="I41" i="6" s="1"/>
  <c r="F42" i="6"/>
  <c r="I42" i="6" s="1"/>
  <c r="F43" i="6"/>
  <c r="I43" i="6" s="1"/>
  <c r="F44" i="6"/>
  <c r="I44" i="6" s="1"/>
  <c r="F45" i="6"/>
  <c r="I45" i="6" s="1"/>
  <c r="F46" i="6"/>
  <c r="I46" i="6" s="1"/>
  <c r="F47" i="6"/>
  <c r="I47" i="6" s="1"/>
  <c r="F48" i="6"/>
  <c r="I48" i="6" s="1"/>
  <c r="F49" i="6"/>
  <c r="I49" i="6" s="1"/>
  <c r="F50" i="6"/>
  <c r="I50" i="6" s="1"/>
  <c r="F51" i="6"/>
  <c r="I51" i="6" s="1"/>
  <c r="F52" i="6"/>
  <c r="I52" i="6" s="1"/>
  <c r="F53" i="6"/>
  <c r="I53" i="6" s="1"/>
  <c r="F54" i="6"/>
  <c r="I54" i="6" s="1"/>
  <c r="F55" i="6"/>
  <c r="I55" i="6" s="1"/>
  <c r="F56" i="6"/>
  <c r="I56" i="6" s="1"/>
  <c r="F57" i="6"/>
  <c r="I57" i="6" s="1"/>
  <c r="F58" i="6"/>
  <c r="I58" i="6" s="1"/>
  <c r="F41" i="5"/>
  <c r="I41" i="5" s="1"/>
  <c r="F42" i="5"/>
  <c r="I42" i="5" s="1"/>
  <c r="F43" i="5"/>
  <c r="I43" i="5" s="1"/>
  <c r="F44" i="5"/>
  <c r="I44" i="5" s="1"/>
  <c r="F45" i="5"/>
  <c r="I45" i="5" s="1"/>
  <c r="F46" i="5"/>
  <c r="I46" i="5" s="1"/>
  <c r="F47" i="5"/>
  <c r="I47" i="5" s="1"/>
  <c r="F48" i="5"/>
  <c r="I48" i="5" s="1"/>
  <c r="F49" i="5"/>
  <c r="I49" i="5" s="1"/>
  <c r="F50" i="5"/>
  <c r="I50" i="5" s="1"/>
  <c r="F51" i="5"/>
  <c r="I51" i="5" s="1"/>
  <c r="F52" i="5"/>
  <c r="I52" i="5" s="1"/>
  <c r="F53" i="5"/>
  <c r="I53" i="5" s="1"/>
  <c r="F54" i="5"/>
  <c r="I54" i="5" s="1"/>
  <c r="F55" i="5"/>
  <c r="I55" i="5" s="1"/>
  <c r="F56" i="5"/>
  <c r="I56" i="5" s="1"/>
  <c r="F57" i="5"/>
  <c r="I57" i="5" s="1"/>
  <c r="F58" i="5"/>
  <c r="I58" i="5" s="1"/>
  <c r="F41" i="10"/>
  <c r="I41" i="10" s="1"/>
  <c r="F42" i="10"/>
  <c r="I42" i="10" s="1"/>
  <c r="F43" i="10"/>
  <c r="I43" i="10" s="1"/>
  <c r="F44" i="10"/>
  <c r="I44" i="10" s="1"/>
  <c r="F45" i="10"/>
  <c r="I45" i="10" s="1"/>
  <c r="F46" i="10"/>
  <c r="I46" i="10" s="1"/>
  <c r="F47" i="10"/>
  <c r="I47" i="10" s="1"/>
  <c r="F48" i="10"/>
  <c r="I48" i="10" s="1"/>
  <c r="F49" i="10"/>
  <c r="I49" i="10" s="1"/>
  <c r="F50" i="10"/>
  <c r="I50" i="10" s="1"/>
  <c r="F51" i="10"/>
  <c r="I51" i="10" s="1"/>
  <c r="F52" i="10"/>
  <c r="I52" i="10" s="1"/>
  <c r="F53" i="10"/>
  <c r="I53" i="10" s="1"/>
  <c r="F54" i="10"/>
  <c r="I54" i="10" s="1"/>
  <c r="F55" i="10"/>
  <c r="I55" i="10" s="1"/>
  <c r="F56" i="10"/>
  <c r="I56" i="10" s="1"/>
  <c r="F57" i="10"/>
  <c r="I57" i="10" s="1"/>
  <c r="F58" i="10"/>
  <c r="I58" i="10" s="1"/>
  <c r="F41" i="12"/>
  <c r="I41" i="12" s="1"/>
  <c r="F42" i="12"/>
  <c r="I42" i="12" s="1"/>
  <c r="F43" i="12"/>
  <c r="I43" i="12" s="1"/>
  <c r="F44" i="12"/>
  <c r="I44" i="12" s="1"/>
  <c r="F45" i="12"/>
  <c r="I45" i="12" s="1"/>
  <c r="F46" i="12"/>
  <c r="I46" i="12" s="1"/>
  <c r="F47" i="12"/>
  <c r="I47" i="12" s="1"/>
  <c r="F48" i="12"/>
  <c r="I48" i="12" s="1"/>
  <c r="F49" i="12"/>
  <c r="I49" i="12" s="1"/>
  <c r="F50" i="12"/>
  <c r="I50" i="12" s="1"/>
  <c r="F51" i="12"/>
  <c r="I51" i="12" s="1"/>
  <c r="F52" i="12"/>
  <c r="I52" i="12" s="1"/>
  <c r="F53" i="12"/>
  <c r="I53" i="12" s="1"/>
  <c r="F54" i="12"/>
  <c r="I54" i="12" s="1"/>
  <c r="F55" i="12"/>
  <c r="I55" i="12" s="1"/>
  <c r="F56" i="12"/>
  <c r="I56" i="12" s="1"/>
  <c r="F57" i="12"/>
  <c r="I57" i="12" s="1"/>
  <c r="F58" i="12"/>
  <c r="I58" i="12" s="1"/>
  <c r="F41" i="14"/>
  <c r="I41" i="14" s="1"/>
  <c r="F42" i="14"/>
  <c r="I42" i="14" s="1"/>
  <c r="F43" i="14"/>
  <c r="I43" i="14" s="1"/>
  <c r="F44" i="14"/>
  <c r="I44" i="14" s="1"/>
  <c r="F45" i="14"/>
  <c r="I45" i="14" s="1"/>
  <c r="F46" i="14"/>
  <c r="I46" i="14" s="1"/>
  <c r="F47" i="14"/>
  <c r="I47" i="14" s="1"/>
  <c r="F48" i="14"/>
  <c r="I48" i="14" s="1"/>
  <c r="F49" i="14"/>
  <c r="I49" i="14" s="1"/>
  <c r="F50" i="14"/>
  <c r="I50" i="14" s="1"/>
  <c r="F51" i="14"/>
  <c r="I51" i="14" s="1"/>
  <c r="F52" i="14"/>
  <c r="I52" i="14" s="1"/>
  <c r="F53" i="14"/>
  <c r="I53" i="14" s="1"/>
  <c r="F54" i="14"/>
  <c r="I54" i="14" s="1"/>
  <c r="F55" i="14"/>
  <c r="I55" i="14" s="1"/>
  <c r="F56" i="14"/>
  <c r="I56" i="14" s="1"/>
  <c r="F57" i="14"/>
  <c r="I57" i="14" s="1"/>
  <c r="F58" i="14"/>
  <c r="I58" i="14" s="1"/>
  <c r="F41" i="4"/>
  <c r="I41" i="4" s="1"/>
  <c r="F42" i="4"/>
  <c r="I42" i="4" s="1"/>
  <c r="F43" i="4"/>
  <c r="I43" i="4" s="1"/>
  <c r="F44" i="4"/>
  <c r="I44" i="4" s="1"/>
  <c r="I45" i="4"/>
  <c r="I46" i="4"/>
  <c r="I47" i="4"/>
  <c r="I48" i="4"/>
  <c r="F49" i="4"/>
  <c r="I49" i="4" s="1"/>
  <c r="F50" i="4"/>
  <c r="I50" i="4" s="1"/>
  <c r="F51" i="4"/>
  <c r="I51" i="4" s="1"/>
  <c r="F52" i="4"/>
  <c r="I52" i="4" s="1"/>
  <c r="F53" i="4"/>
  <c r="I53" i="4" s="1"/>
  <c r="F54" i="4"/>
  <c r="I54" i="4" s="1"/>
  <c r="F55" i="4"/>
  <c r="I55" i="4" s="1"/>
  <c r="F56" i="4"/>
  <c r="I56" i="4" s="1"/>
  <c r="F57" i="4"/>
  <c r="I57" i="4" s="1"/>
  <c r="F58" i="4"/>
  <c r="I58" i="4" s="1"/>
  <c r="F41" i="15"/>
  <c r="I41" i="15" s="1"/>
  <c r="F42" i="15"/>
  <c r="I42" i="15" s="1"/>
  <c r="F43" i="15"/>
  <c r="I43" i="15" s="1"/>
  <c r="F44" i="15"/>
  <c r="I44" i="15" s="1"/>
  <c r="F45" i="15"/>
  <c r="I45" i="15" s="1"/>
  <c r="F46" i="15"/>
  <c r="I46" i="15" s="1"/>
  <c r="F47" i="15"/>
  <c r="I47" i="15" s="1"/>
  <c r="F48" i="15"/>
  <c r="I48" i="15" s="1"/>
  <c r="F49" i="15"/>
  <c r="I49" i="15" s="1"/>
  <c r="F50" i="15"/>
  <c r="I50" i="15" s="1"/>
  <c r="F51" i="15"/>
  <c r="I51" i="15" s="1"/>
  <c r="F52" i="15"/>
  <c r="I52" i="15" s="1"/>
  <c r="F53" i="15"/>
  <c r="I53" i="15" s="1"/>
  <c r="F54" i="15"/>
  <c r="I54" i="15" s="1"/>
  <c r="F55" i="15"/>
  <c r="I55" i="15" s="1"/>
  <c r="F56" i="15"/>
  <c r="I56" i="15" s="1"/>
  <c r="F57" i="15"/>
  <c r="I57" i="15" s="1"/>
  <c r="F58" i="15"/>
  <c r="I58" i="15" s="1"/>
  <c r="F41" i="16"/>
  <c r="I41" i="16" s="1"/>
  <c r="F42" i="16"/>
  <c r="I42" i="16" s="1"/>
  <c r="F43" i="16"/>
  <c r="I43" i="16" s="1"/>
  <c r="F44" i="16"/>
  <c r="I44" i="16" s="1"/>
  <c r="F45" i="16"/>
  <c r="I45" i="16" s="1"/>
  <c r="F46" i="16"/>
  <c r="I46" i="16" s="1"/>
  <c r="F47" i="16"/>
  <c r="I47" i="16" s="1"/>
  <c r="F48" i="16"/>
  <c r="I48" i="16" s="1"/>
  <c r="F49" i="16"/>
  <c r="I49" i="16" s="1"/>
  <c r="F50" i="16"/>
  <c r="I50" i="16" s="1"/>
  <c r="F51" i="16"/>
  <c r="I51" i="16" s="1"/>
  <c r="F52" i="16"/>
  <c r="I52" i="16" s="1"/>
  <c r="F53" i="16"/>
  <c r="I53" i="16" s="1"/>
  <c r="F54" i="16"/>
  <c r="I54" i="16" s="1"/>
  <c r="F55" i="16"/>
  <c r="I55" i="16" s="1"/>
  <c r="F56" i="16"/>
  <c r="I56" i="16" s="1"/>
  <c r="F57" i="16"/>
  <c r="I57" i="16" s="1"/>
  <c r="F58" i="16"/>
  <c r="I58" i="16" s="1"/>
  <c r="F41" i="17"/>
  <c r="I41" i="17" s="1"/>
  <c r="F42" i="17"/>
  <c r="I42" i="17" s="1"/>
  <c r="F43" i="17"/>
  <c r="I43" i="17" s="1"/>
  <c r="F44" i="17"/>
  <c r="I44" i="17" s="1"/>
  <c r="F45" i="17"/>
  <c r="I45" i="17" s="1"/>
  <c r="F46" i="17"/>
  <c r="I46" i="17" s="1"/>
  <c r="F47" i="17"/>
  <c r="I47" i="17" s="1"/>
  <c r="F48" i="17"/>
  <c r="I48" i="17" s="1"/>
  <c r="F49" i="17"/>
  <c r="I49" i="17" s="1"/>
  <c r="F50" i="17"/>
  <c r="I50" i="17" s="1"/>
  <c r="F51" i="17"/>
  <c r="I51" i="17" s="1"/>
  <c r="F52" i="17"/>
  <c r="I52" i="17" s="1"/>
  <c r="F53" i="17"/>
  <c r="I53" i="17" s="1"/>
  <c r="F54" i="17"/>
  <c r="I54" i="17" s="1"/>
  <c r="F55" i="17"/>
  <c r="I55" i="17" s="1"/>
  <c r="F56" i="17"/>
  <c r="I56" i="17" s="1"/>
  <c r="F57" i="17"/>
  <c r="I57" i="17" s="1"/>
  <c r="F58" i="17"/>
  <c r="I58" i="17" s="1"/>
  <c r="F41" i="18"/>
  <c r="I41" i="18" s="1"/>
  <c r="F42" i="18"/>
  <c r="I42" i="18" s="1"/>
  <c r="F43" i="18"/>
  <c r="I43" i="18" s="1"/>
  <c r="F44" i="18"/>
  <c r="I44" i="18" s="1"/>
  <c r="F45" i="18"/>
  <c r="I45" i="18" s="1"/>
  <c r="F46" i="18"/>
  <c r="I46" i="18" s="1"/>
  <c r="F47" i="18"/>
  <c r="I47" i="18" s="1"/>
  <c r="F48" i="18"/>
  <c r="I48" i="18" s="1"/>
  <c r="F49" i="18"/>
  <c r="I49" i="18" s="1"/>
  <c r="F50" i="18"/>
  <c r="I50" i="18" s="1"/>
  <c r="F51" i="18"/>
  <c r="I51" i="18" s="1"/>
  <c r="F52" i="18"/>
  <c r="I52" i="18" s="1"/>
  <c r="F53" i="18"/>
  <c r="I53" i="18" s="1"/>
  <c r="F54" i="18"/>
  <c r="I54" i="18" s="1"/>
  <c r="F55" i="18"/>
  <c r="I55" i="18" s="1"/>
  <c r="F56" i="18"/>
  <c r="I56" i="18" s="1"/>
  <c r="F57" i="18"/>
  <c r="I57" i="18" s="1"/>
  <c r="F58" i="18"/>
  <c r="I58" i="18" s="1"/>
  <c r="F41" i="19"/>
  <c r="I41" i="19" s="1"/>
  <c r="F42" i="19"/>
  <c r="I42" i="19" s="1"/>
  <c r="F43" i="19"/>
  <c r="I43" i="19" s="1"/>
  <c r="F44" i="19"/>
  <c r="I44" i="19" s="1"/>
  <c r="F45" i="19"/>
  <c r="I45" i="19" s="1"/>
  <c r="F46" i="19"/>
  <c r="I46" i="19" s="1"/>
  <c r="F47" i="19"/>
  <c r="I47" i="19" s="1"/>
  <c r="F48" i="19"/>
  <c r="I48" i="19" s="1"/>
  <c r="F49" i="19"/>
  <c r="I49" i="19" s="1"/>
  <c r="F50" i="19"/>
  <c r="I50" i="19" s="1"/>
  <c r="F51" i="19"/>
  <c r="I51" i="19" s="1"/>
  <c r="F52" i="19"/>
  <c r="I52" i="19" s="1"/>
  <c r="F53" i="19"/>
  <c r="I53" i="19" s="1"/>
  <c r="F54" i="19"/>
  <c r="I54" i="19" s="1"/>
  <c r="F55" i="19"/>
  <c r="I55" i="19" s="1"/>
  <c r="F56" i="19"/>
  <c r="I56" i="19" s="1"/>
  <c r="F57" i="19"/>
  <c r="I57" i="19" s="1"/>
  <c r="F58" i="19"/>
  <c r="I58" i="19" s="1"/>
  <c r="F41" i="20"/>
  <c r="I41" i="20" s="1"/>
  <c r="F42" i="20"/>
  <c r="I42" i="20" s="1"/>
  <c r="F43" i="20"/>
  <c r="I43" i="20" s="1"/>
  <c r="F44" i="20"/>
  <c r="I44" i="20" s="1"/>
  <c r="F45" i="20"/>
  <c r="I45" i="20" s="1"/>
  <c r="F46" i="20"/>
  <c r="I46" i="20" s="1"/>
  <c r="F47" i="20"/>
  <c r="I47" i="20" s="1"/>
  <c r="F48" i="20"/>
  <c r="I48" i="20" s="1"/>
  <c r="F49" i="20"/>
  <c r="I49" i="20" s="1"/>
  <c r="F50" i="20"/>
  <c r="I50" i="20" s="1"/>
  <c r="F51" i="20"/>
  <c r="I51" i="20" s="1"/>
  <c r="F52" i="20"/>
  <c r="I52" i="20" s="1"/>
  <c r="F53" i="20"/>
  <c r="I53" i="20" s="1"/>
  <c r="F54" i="20"/>
  <c r="I54" i="20" s="1"/>
  <c r="F55" i="20"/>
  <c r="I55" i="20" s="1"/>
  <c r="F56" i="20"/>
  <c r="I56" i="20" s="1"/>
  <c r="F57" i="20"/>
  <c r="I57" i="20" s="1"/>
  <c r="F58" i="20"/>
  <c r="I58" i="20" s="1"/>
  <c r="F41" i="21"/>
  <c r="I41" i="21" s="1"/>
  <c r="F42" i="21"/>
  <c r="I42" i="21" s="1"/>
  <c r="F43" i="21"/>
  <c r="I43" i="21" s="1"/>
  <c r="F44" i="21"/>
  <c r="I44" i="21" s="1"/>
  <c r="F45" i="21"/>
  <c r="I45" i="21" s="1"/>
  <c r="F46" i="21"/>
  <c r="I46" i="21" s="1"/>
  <c r="F47" i="21"/>
  <c r="I47" i="21" s="1"/>
  <c r="F48" i="21"/>
  <c r="I48" i="21" s="1"/>
  <c r="F49" i="21"/>
  <c r="I49" i="21" s="1"/>
  <c r="F50" i="21"/>
  <c r="I50" i="21" s="1"/>
  <c r="F51" i="21"/>
  <c r="I51" i="21" s="1"/>
  <c r="F52" i="21"/>
  <c r="I52" i="21" s="1"/>
  <c r="F53" i="21"/>
  <c r="I53" i="21" s="1"/>
  <c r="F54" i="21"/>
  <c r="I54" i="21" s="1"/>
  <c r="F55" i="21"/>
  <c r="I55" i="21" s="1"/>
  <c r="F56" i="21"/>
  <c r="I56" i="21" s="1"/>
  <c r="F57" i="21"/>
  <c r="I57" i="21" s="1"/>
  <c r="F58" i="21"/>
  <c r="I58" i="21" s="1"/>
  <c r="F41" i="22"/>
  <c r="I41" i="22" s="1"/>
  <c r="F42" i="22"/>
  <c r="I42" i="22" s="1"/>
  <c r="F43" i="22"/>
  <c r="I43" i="22" s="1"/>
  <c r="F44" i="22"/>
  <c r="I44" i="22" s="1"/>
  <c r="F45" i="22"/>
  <c r="I45" i="22" s="1"/>
  <c r="F46" i="22"/>
  <c r="I46" i="22" s="1"/>
  <c r="F47" i="22"/>
  <c r="I47" i="22" s="1"/>
  <c r="F48" i="22"/>
  <c r="I48" i="22" s="1"/>
  <c r="F49" i="22"/>
  <c r="I49" i="22" s="1"/>
  <c r="F50" i="22"/>
  <c r="I50" i="22" s="1"/>
  <c r="F51" i="22"/>
  <c r="I51" i="22" s="1"/>
  <c r="F52" i="22"/>
  <c r="I52" i="22" s="1"/>
  <c r="F53" i="22"/>
  <c r="I53" i="22" s="1"/>
  <c r="F54" i="22"/>
  <c r="I54" i="22" s="1"/>
  <c r="F55" i="22"/>
  <c r="I55" i="22" s="1"/>
  <c r="F56" i="22"/>
  <c r="I56" i="22" s="1"/>
  <c r="F57" i="22"/>
  <c r="I57" i="22" s="1"/>
  <c r="F58" i="22"/>
  <c r="I58" i="22" s="1"/>
  <c r="F41" i="23"/>
  <c r="I41" i="23" s="1"/>
  <c r="F42" i="23"/>
  <c r="I42" i="23" s="1"/>
  <c r="F43" i="23"/>
  <c r="I43" i="23" s="1"/>
  <c r="F44" i="23"/>
  <c r="I44" i="23" s="1"/>
  <c r="F45" i="23"/>
  <c r="I45" i="23" s="1"/>
  <c r="F46" i="23"/>
  <c r="I46" i="23" s="1"/>
  <c r="F47" i="23"/>
  <c r="I47" i="23" s="1"/>
  <c r="F48" i="23"/>
  <c r="I48" i="23" s="1"/>
  <c r="F49" i="23"/>
  <c r="I49" i="23" s="1"/>
  <c r="F50" i="23"/>
  <c r="I50" i="23" s="1"/>
  <c r="F51" i="23"/>
  <c r="I51" i="23" s="1"/>
  <c r="F52" i="23"/>
  <c r="I52" i="23" s="1"/>
  <c r="F53" i="23"/>
  <c r="I53" i="23" s="1"/>
  <c r="F54" i="23"/>
  <c r="I54" i="23" s="1"/>
  <c r="F55" i="23"/>
  <c r="I55" i="23" s="1"/>
  <c r="F56" i="23"/>
  <c r="I56" i="23" s="1"/>
  <c r="F57" i="23"/>
  <c r="I57" i="23" s="1"/>
  <c r="F58" i="23"/>
  <c r="I58" i="23" s="1"/>
  <c r="F41" i="24"/>
  <c r="I41" i="24" s="1"/>
  <c r="F42" i="24"/>
  <c r="I42" i="24" s="1"/>
  <c r="F43" i="24"/>
  <c r="I43" i="24" s="1"/>
  <c r="F44" i="24"/>
  <c r="I44" i="24" s="1"/>
  <c r="F45" i="24"/>
  <c r="I45" i="24" s="1"/>
  <c r="F46" i="24"/>
  <c r="I46" i="24" s="1"/>
  <c r="F47" i="24"/>
  <c r="I47" i="24" s="1"/>
  <c r="F48" i="24"/>
  <c r="I48" i="24" s="1"/>
  <c r="F49" i="24"/>
  <c r="I49" i="24" s="1"/>
  <c r="F50" i="24"/>
  <c r="I50" i="24" s="1"/>
  <c r="F51" i="24"/>
  <c r="I51" i="24" s="1"/>
  <c r="F52" i="24"/>
  <c r="I52" i="24" s="1"/>
  <c r="F53" i="24"/>
  <c r="I53" i="24" s="1"/>
  <c r="F54" i="24"/>
  <c r="I54" i="24" s="1"/>
  <c r="F55" i="24"/>
  <c r="I55" i="24" s="1"/>
  <c r="F56" i="24"/>
  <c r="I56" i="24" s="1"/>
  <c r="F57" i="24"/>
  <c r="I57" i="24" s="1"/>
  <c r="F58" i="24"/>
  <c r="I58" i="24" s="1"/>
  <c r="F41" i="25"/>
  <c r="I41" i="25" s="1"/>
  <c r="F42" i="25"/>
  <c r="I42" i="25" s="1"/>
  <c r="F43" i="25"/>
  <c r="I43" i="25" s="1"/>
  <c r="F44" i="25"/>
  <c r="I44" i="25" s="1"/>
  <c r="F45" i="25"/>
  <c r="I45" i="25" s="1"/>
  <c r="F46" i="25"/>
  <c r="I46" i="25" s="1"/>
  <c r="F47" i="25"/>
  <c r="I47" i="25" s="1"/>
  <c r="F48" i="25"/>
  <c r="I48" i="25" s="1"/>
  <c r="F49" i="25"/>
  <c r="I49" i="25" s="1"/>
  <c r="F50" i="25"/>
  <c r="I50" i="25" s="1"/>
  <c r="F51" i="25"/>
  <c r="I51" i="25" s="1"/>
  <c r="F52" i="25"/>
  <c r="I52" i="25" s="1"/>
  <c r="F53" i="25"/>
  <c r="I53" i="25" s="1"/>
  <c r="F54" i="25"/>
  <c r="I54" i="25" s="1"/>
  <c r="F55" i="25"/>
  <c r="I55" i="25" s="1"/>
  <c r="F56" i="25"/>
  <c r="I56" i="25" s="1"/>
  <c r="F57" i="25"/>
  <c r="I57" i="25" s="1"/>
  <c r="F58" i="25"/>
  <c r="I58" i="25" s="1"/>
  <c r="F41" i="26"/>
  <c r="I41" i="26" s="1"/>
  <c r="F42" i="26"/>
  <c r="I42" i="26" s="1"/>
  <c r="F43" i="26"/>
  <c r="I43" i="26" s="1"/>
  <c r="F44" i="26"/>
  <c r="I44" i="26" s="1"/>
  <c r="F45" i="26"/>
  <c r="I45" i="26" s="1"/>
  <c r="F46" i="26"/>
  <c r="I46" i="26" s="1"/>
  <c r="F47" i="26"/>
  <c r="I47" i="26" s="1"/>
  <c r="F48" i="26"/>
  <c r="I48" i="26" s="1"/>
  <c r="F49" i="26"/>
  <c r="I49" i="26" s="1"/>
  <c r="F50" i="26"/>
  <c r="I50" i="26" s="1"/>
  <c r="F51" i="26"/>
  <c r="I51" i="26" s="1"/>
  <c r="F52" i="26"/>
  <c r="I52" i="26" s="1"/>
  <c r="F53" i="26"/>
  <c r="I53" i="26" s="1"/>
  <c r="F54" i="26"/>
  <c r="I54" i="26" s="1"/>
  <c r="F55" i="26"/>
  <c r="I55" i="26" s="1"/>
  <c r="F56" i="26"/>
  <c r="I56" i="26" s="1"/>
  <c r="F57" i="26"/>
  <c r="I57" i="26" s="1"/>
  <c r="F58" i="26"/>
  <c r="I58" i="26" s="1"/>
  <c r="F41" i="27"/>
  <c r="I41" i="27" s="1"/>
  <c r="F42" i="27"/>
  <c r="I42" i="27" s="1"/>
  <c r="F43" i="27"/>
  <c r="I43" i="27" s="1"/>
  <c r="F44" i="27"/>
  <c r="I44" i="27" s="1"/>
  <c r="F45" i="27"/>
  <c r="I45" i="27" s="1"/>
  <c r="F46" i="27"/>
  <c r="I46" i="27" s="1"/>
  <c r="F47" i="27"/>
  <c r="I47" i="27" s="1"/>
  <c r="F48" i="27"/>
  <c r="I48" i="27" s="1"/>
  <c r="F49" i="27"/>
  <c r="I49" i="27" s="1"/>
  <c r="F50" i="27"/>
  <c r="I50" i="27" s="1"/>
  <c r="F51" i="27"/>
  <c r="I51" i="27" s="1"/>
  <c r="F52" i="27"/>
  <c r="I52" i="27" s="1"/>
  <c r="F53" i="27"/>
  <c r="I53" i="27" s="1"/>
  <c r="F54" i="27"/>
  <c r="I54" i="27" s="1"/>
  <c r="F55" i="27"/>
  <c r="I55" i="27" s="1"/>
  <c r="F56" i="27"/>
  <c r="I56" i="27" s="1"/>
  <c r="F57" i="27"/>
  <c r="I57" i="27" s="1"/>
  <c r="F58" i="27"/>
  <c r="I58" i="27" s="1"/>
  <c r="F41" i="28"/>
  <c r="I41" i="28" s="1"/>
  <c r="F42" i="28"/>
  <c r="I42" i="28" s="1"/>
  <c r="F43" i="28"/>
  <c r="I43" i="28" s="1"/>
  <c r="F44" i="28"/>
  <c r="I44" i="28" s="1"/>
  <c r="F45" i="28"/>
  <c r="I45" i="28" s="1"/>
  <c r="F46" i="28"/>
  <c r="I46" i="28" s="1"/>
  <c r="F47" i="28"/>
  <c r="I47" i="28" s="1"/>
  <c r="F48" i="28"/>
  <c r="I48" i="28" s="1"/>
  <c r="F49" i="28"/>
  <c r="I49" i="28" s="1"/>
  <c r="F50" i="28"/>
  <c r="I50" i="28" s="1"/>
  <c r="F51" i="28"/>
  <c r="I51" i="28" s="1"/>
  <c r="F52" i="28"/>
  <c r="I52" i="28" s="1"/>
  <c r="F53" i="28"/>
  <c r="I53" i="28" s="1"/>
  <c r="F54" i="28"/>
  <c r="I54" i="28" s="1"/>
  <c r="F55" i="28"/>
  <c r="I55" i="28" s="1"/>
  <c r="F56" i="28"/>
  <c r="I56" i="28" s="1"/>
  <c r="F57" i="28"/>
  <c r="I57" i="28" s="1"/>
  <c r="F58" i="28"/>
  <c r="I58" i="28" s="1"/>
  <c r="F41" i="29"/>
  <c r="I41" i="29" s="1"/>
  <c r="F42" i="29"/>
  <c r="I42" i="29" s="1"/>
  <c r="F43" i="29"/>
  <c r="I43" i="29" s="1"/>
  <c r="F44" i="29"/>
  <c r="I44" i="29" s="1"/>
  <c r="F45" i="29"/>
  <c r="I45" i="29" s="1"/>
  <c r="F46" i="29"/>
  <c r="I46" i="29" s="1"/>
  <c r="F47" i="29"/>
  <c r="I47" i="29" s="1"/>
  <c r="F48" i="29"/>
  <c r="I48" i="29" s="1"/>
  <c r="F49" i="29"/>
  <c r="I49" i="29" s="1"/>
  <c r="F50" i="29"/>
  <c r="I50" i="29" s="1"/>
  <c r="F51" i="29"/>
  <c r="I51" i="29" s="1"/>
  <c r="F52" i="29"/>
  <c r="I52" i="29" s="1"/>
  <c r="F53" i="29"/>
  <c r="I53" i="29" s="1"/>
  <c r="F54" i="29"/>
  <c r="I54" i="29" s="1"/>
  <c r="F55" i="29"/>
  <c r="I55" i="29" s="1"/>
  <c r="F56" i="29"/>
  <c r="I56" i="29" s="1"/>
  <c r="F57" i="29"/>
  <c r="I57" i="29" s="1"/>
  <c r="F58" i="29"/>
  <c r="I58" i="29" s="1"/>
  <c r="F41" i="30"/>
  <c r="I41" i="30" s="1"/>
  <c r="F42" i="30"/>
  <c r="I42" i="30" s="1"/>
  <c r="F43" i="30"/>
  <c r="I43" i="30" s="1"/>
  <c r="F44" i="30"/>
  <c r="I44" i="30" s="1"/>
  <c r="F45" i="30"/>
  <c r="I45" i="30" s="1"/>
  <c r="F46" i="30"/>
  <c r="I46" i="30" s="1"/>
  <c r="F47" i="30"/>
  <c r="I47" i="30" s="1"/>
  <c r="F48" i="30"/>
  <c r="I48" i="30" s="1"/>
  <c r="F49" i="30"/>
  <c r="I49" i="30" s="1"/>
  <c r="F50" i="30"/>
  <c r="I50" i="30" s="1"/>
  <c r="F51" i="30"/>
  <c r="I51" i="30" s="1"/>
  <c r="F52" i="30"/>
  <c r="I52" i="30" s="1"/>
  <c r="F53" i="30"/>
  <c r="I53" i="30" s="1"/>
  <c r="F54" i="30"/>
  <c r="I54" i="30" s="1"/>
  <c r="F55" i="30"/>
  <c r="I55" i="30" s="1"/>
  <c r="F56" i="30"/>
  <c r="I56" i="30" s="1"/>
  <c r="F57" i="30"/>
  <c r="I57" i="30" s="1"/>
  <c r="F58" i="30"/>
  <c r="I58" i="30" s="1"/>
  <c r="F41" i="31"/>
  <c r="I41" i="31" s="1"/>
  <c r="F42" i="31"/>
  <c r="I42" i="31" s="1"/>
  <c r="F43" i="31"/>
  <c r="I43" i="31" s="1"/>
  <c r="F44" i="31"/>
  <c r="I44" i="31" s="1"/>
  <c r="F45" i="31"/>
  <c r="I45" i="31" s="1"/>
  <c r="F46" i="31"/>
  <c r="I46" i="31" s="1"/>
  <c r="F47" i="31"/>
  <c r="I47" i="31" s="1"/>
  <c r="F48" i="31"/>
  <c r="I48" i="31" s="1"/>
  <c r="F49" i="31"/>
  <c r="I49" i="31" s="1"/>
  <c r="F50" i="31"/>
  <c r="I50" i="31" s="1"/>
  <c r="F51" i="31"/>
  <c r="I51" i="31" s="1"/>
  <c r="F52" i="31"/>
  <c r="I52" i="31" s="1"/>
  <c r="F53" i="31"/>
  <c r="I53" i="31" s="1"/>
  <c r="F54" i="31"/>
  <c r="I54" i="31" s="1"/>
  <c r="F55" i="31"/>
  <c r="I55" i="31" s="1"/>
  <c r="F56" i="31"/>
  <c r="I56" i="31" s="1"/>
  <c r="F57" i="31"/>
  <c r="I57" i="31" s="1"/>
  <c r="F58" i="31"/>
  <c r="I58" i="31" s="1"/>
  <c r="F41" i="32"/>
  <c r="I41" i="32" s="1"/>
  <c r="F42" i="32"/>
  <c r="I42" i="32" s="1"/>
  <c r="F43" i="32"/>
  <c r="I43" i="32" s="1"/>
  <c r="F44" i="32"/>
  <c r="I44" i="32" s="1"/>
  <c r="F45" i="32"/>
  <c r="I45" i="32" s="1"/>
  <c r="F46" i="32"/>
  <c r="I46" i="32" s="1"/>
  <c r="F47" i="32"/>
  <c r="I47" i="32" s="1"/>
  <c r="F48" i="32"/>
  <c r="I48" i="32" s="1"/>
  <c r="F49" i="32"/>
  <c r="I49" i="32" s="1"/>
  <c r="F50" i="32"/>
  <c r="I50" i="32" s="1"/>
  <c r="F51" i="32"/>
  <c r="I51" i="32" s="1"/>
  <c r="F52" i="32"/>
  <c r="I52" i="32" s="1"/>
  <c r="F53" i="32"/>
  <c r="I53" i="32" s="1"/>
  <c r="F54" i="32"/>
  <c r="I54" i="32" s="1"/>
  <c r="F55" i="32"/>
  <c r="I55" i="32" s="1"/>
  <c r="F56" i="32"/>
  <c r="I56" i="32" s="1"/>
  <c r="F57" i="32"/>
  <c r="I57" i="32" s="1"/>
  <c r="F58" i="32"/>
  <c r="I58" i="32" s="1"/>
  <c r="F41" i="33"/>
  <c r="I41" i="33" s="1"/>
  <c r="F42" i="33"/>
  <c r="I42" i="33" s="1"/>
  <c r="F43" i="33"/>
  <c r="I43" i="33" s="1"/>
  <c r="F44" i="33"/>
  <c r="I44" i="33" s="1"/>
  <c r="F45" i="33"/>
  <c r="I45" i="33" s="1"/>
  <c r="F46" i="33"/>
  <c r="I46" i="33" s="1"/>
  <c r="F47" i="33"/>
  <c r="I47" i="33" s="1"/>
  <c r="F48" i="33"/>
  <c r="I48" i="33" s="1"/>
  <c r="F49" i="33"/>
  <c r="I49" i="33" s="1"/>
  <c r="F50" i="33"/>
  <c r="I50" i="33" s="1"/>
  <c r="F51" i="33"/>
  <c r="I51" i="33" s="1"/>
  <c r="F52" i="33"/>
  <c r="I52" i="33" s="1"/>
  <c r="F53" i="33"/>
  <c r="I53" i="33" s="1"/>
  <c r="F54" i="33"/>
  <c r="I54" i="33" s="1"/>
  <c r="F55" i="33"/>
  <c r="I55" i="33" s="1"/>
  <c r="F56" i="33"/>
  <c r="I56" i="33" s="1"/>
  <c r="F57" i="33"/>
  <c r="I57" i="33" s="1"/>
  <c r="F58" i="33"/>
  <c r="I58" i="33" s="1"/>
  <c r="F41" i="34"/>
  <c r="I41" i="34" s="1"/>
  <c r="F42" i="34"/>
  <c r="I42" i="34" s="1"/>
  <c r="F43" i="34"/>
  <c r="I43" i="34" s="1"/>
  <c r="F44" i="34"/>
  <c r="I44" i="34" s="1"/>
  <c r="F45" i="34"/>
  <c r="I45" i="34" s="1"/>
  <c r="F46" i="34"/>
  <c r="I46" i="34" s="1"/>
  <c r="F47" i="34"/>
  <c r="I47" i="34" s="1"/>
  <c r="F48" i="34"/>
  <c r="I48" i="34" s="1"/>
  <c r="F49" i="34"/>
  <c r="I49" i="34" s="1"/>
  <c r="F50" i="34"/>
  <c r="I50" i="34" s="1"/>
  <c r="F51" i="34"/>
  <c r="I51" i="34" s="1"/>
  <c r="F52" i="34"/>
  <c r="I52" i="34" s="1"/>
  <c r="F53" i="34"/>
  <c r="I53" i="34" s="1"/>
  <c r="F54" i="34"/>
  <c r="I54" i="34" s="1"/>
  <c r="F55" i="34"/>
  <c r="I55" i="34" s="1"/>
  <c r="F56" i="34"/>
  <c r="I56" i="34" s="1"/>
  <c r="F57" i="34"/>
  <c r="I57" i="34" s="1"/>
  <c r="F58" i="34"/>
  <c r="I58" i="34" s="1"/>
  <c r="F41" i="35"/>
  <c r="I41" i="35" s="1"/>
  <c r="F42" i="35"/>
  <c r="I42" i="35" s="1"/>
  <c r="F43" i="35"/>
  <c r="I43" i="35" s="1"/>
  <c r="F44" i="35"/>
  <c r="I44" i="35" s="1"/>
  <c r="F45" i="35"/>
  <c r="I45" i="35" s="1"/>
  <c r="F46" i="35"/>
  <c r="I46" i="35" s="1"/>
  <c r="F47" i="35"/>
  <c r="I47" i="35" s="1"/>
  <c r="F48" i="35"/>
  <c r="I48" i="35" s="1"/>
  <c r="F49" i="35"/>
  <c r="I49" i="35" s="1"/>
  <c r="F50" i="35"/>
  <c r="I50" i="35" s="1"/>
  <c r="F51" i="35"/>
  <c r="I51" i="35" s="1"/>
  <c r="F52" i="35"/>
  <c r="I52" i="35" s="1"/>
  <c r="F53" i="35"/>
  <c r="I53" i="35" s="1"/>
  <c r="F54" i="35"/>
  <c r="I54" i="35" s="1"/>
  <c r="F55" i="35"/>
  <c r="I55" i="35" s="1"/>
  <c r="F56" i="35"/>
  <c r="I56" i="35" s="1"/>
  <c r="F57" i="35"/>
  <c r="I57" i="35" s="1"/>
  <c r="F58" i="35"/>
  <c r="I58" i="35" s="1"/>
  <c r="F41" i="36"/>
  <c r="I41" i="36" s="1"/>
  <c r="F42" i="36"/>
  <c r="I42" i="36" s="1"/>
  <c r="F43" i="36"/>
  <c r="I43" i="36" s="1"/>
  <c r="F44" i="36"/>
  <c r="I44" i="36" s="1"/>
  <c r="F45" i="36"/>
  <c r="I45" i="36" s="1"/>
  <c r="F46" i="36"/>
  <c r="I46" i="36" s="1"/>
  <c r="F47" i="36"/>
  <c r="I47" i="36" s="1"/>
  <c r="F48" i="36"/>
  <c r="I48" i="36" s="1"/>
  <c r="F49" i="36"/>
  <c r="I49" i="36" s="1"/>
  <c r="F50" i="36"/>
  <c r="I50" i="36" s="1"/>
  <c r="F51" i="36"/>
  <c r="I51" i="36" s="1"/>
  <c r="F52" i="36"/>
  <c r="I52" i="36" s="1"/>
  <c r="F53" i="36"/>
  <c r="I53" i="36" s="1"/>
  <c r="F54" i="36"/>
  <c r="I54" i="36" s="1"/>
  <c r="F55" i="36"/>
  <c r="I55" i="36" s="1"/>
  <c r="F56" i="36"/>
  <c r="I56" i="36" s="1"/>
  <c r="F57" i="36"/>
  <c r="I57" i="36" s="1"/>
  <c r="F58" i="36"/>
  <c r="I58" i="36" s="1"/>
  <c r="F41" i="37"/>
  <c r="I41" i="37" s="1"/>
  <c r="F42" i="37"/>
  <c r="I42" i="37" s="1"/>
  <c r="F43" i="37"/>
  <c r="I43" i="37" s="1"/>
  <c r="F44" i="37"/>
  <c r="I44" i="37" s="1"/>
  <c r="F45" i="37"/>
  <c r="I45" i="37" s="1"/>
  <c r="F46" i="37"/>
  <c r="I46" i="37" s="1"/>
  <c r="F47" i="37"/>
  <c r="I47" i="37" s="1"/>
  <c r="F48" i="37"/>
  <c r="I48" i="37" s="1"/>
  <c r="F49" i="37"/>
  <c r="I49" i="37" s="1"/>
  <c r="F50" i="37"/>
  <c r="I50" i="37" s="1"/>
  <c r="F51" i="37"/>
  <c r="I51" i="37" s="1"/>
  <c r="F52" i="37"/>
  <c r="I52" i="37" s="1"/>
  <c r="F53" i="37"/>
  <c r="I53" i="37" s="1"/>
  <c r="F54" i="37"/>
  <c r="I54" i="37" s="1"/>
  <c r="F55" i="37"/>
  <c r="I55" i="37" s="1"/>
  <c r="F56" i="37"/>
  <c r="I56" i="37" s="1"/>
  <c r="F57" i="37"/>
  <c r="I57" i="37" s="1"/>
  <c r="F58" i="37"/>
  <c r="I58" i="37" s="1"/>
  <c r="F41" i="38"/>
  <c r="I41" i="38" s="1"/>
  <c r="F42" i="38"/>
  <c r="I42" i="38" s="1"/>
  <c r="F43" i="38"/>
  <c r="I43" i="38" s="1"/>
  <c r="F44" i="38"/>
  <c r="I44" i="38" s="1"/>
  <c r="F45" i="38"/>
  <c r="I45" i="38" s="1"/>
  <c r="F46" i="38"/>
  <c r="I46" i="38" s="1"/>
  <c r="F47" i="38"/>
  <c r="I47" i="38" s="1"/>
  <c r="F48" i="38"/>
  <c r="I48" i="38" s="1"/>
  <c r="F49" i="38"/>
  <c r="I49" i="38" s="1"/>
  <c r="F50" i="38"/>
  <c r="I50" i="38" s="1"/>
  <c r="F51" i="38"/>
  <c r="I51" i="38" s="1"/>
  <c r="F52" i="38"/>
  <c r="I52" i="38" s="1"/>
  <c r="F53" i="38"/>
  <c r="I53" i="38" s="1"/>
  <c r="F54" i="38"/>
  <c r="I54" i="38" s="1"/>
  <c r="F55" i="38"/>
  <c r="I55" i="38" s="1"/>
  <c r="F56" i="38"/>
  <c r="I56" i="38" s="1"/>
  <c r="F57" i="38"/>
  <c r="I57" i="38" s="1"/>
  <c r="F58" i="38"/>
  <c r="I58" i="38" s="1"/>
  <c r="F41" i="39"/>
  <c r="I41" i="39" s="1"/>
  <c r="F42" i="39"/>
  <c r="I42" i="39" s="1"/>
  <c r="F43" i="39"/>
  <c r="I43" i="39" s="1"/>
  <c r="F44" i="39"/>
  <c r="I44" i="39" s="1"/>
  <c r="F45" i="39"/>
  <c r="I45" i="39" s="1"/>
  <c r="F46" i="39"/>
  <c r="I46" i="39" s="1"/>
  <c r="F47" i="39"/>
  <c r="I47" i="39" s="1"/>
  <c r="F48" i="39"/>
  <c r="I48" i="39" s="1"/>
  <c r="F49" i="39"/>
  <c r="I49" i="39" s="1"/>
  <c r="F50" i="39"/>
  <c r="I50" i="39" s="1"/>
  <c r="F51" i="39"/>
  <c r="I51" i="39" s="1"/>
  <c r="F52" i="39"/>
  <c r="I52" i="39" s="1"/>
  <c r="F53" i="39"/>
  <c r="I53" i="39" s="1"/>
  <c r="F54" i="39"/>
  <c r="I54" i="39" s="1"/>
  <c r="F55" i="39"/>
  <c r="I55" i="39" s="1"/>
  <c r="F56" i="39"/>
  <c r="I56" i="39" s="1"/>
  <c r="F57" i="39"/>
  <c r="I57" i="39" s="1"/>
  <c r="F58" i="39"/>
  <c r="I58" i="39" s="1"/>
  <c r="F41" i="40"/>
  <c r="I41" i="40" s="1"/>
  <c r="F42" i="40"/>
  <c r="I42" i="40" s="1"/>
  <c r="F43" i="40"/>
  <c r="I43" i="40" s="1"/>
  <c r="F44" i="40"/>
  <c r="I44" i="40" s="1"/>
  <c r="F45" i="40"/>
  <c r="I45" i="40" s="1"/>
  <c r="F46" i="40"/>
  <c r="I46" i="40" s="1"/>
  <c r="F47" i="40"/>
  <c r="I47" i="40" s="1"/>
  <c r="F48" i="40"/>
  <c r="I48" i="40" s="1"/>
  <c r="F49" i="40"/>
  <c r="I49" i="40" s="1"/>
  <c r="F50" i="40"/>
  <c r="I50" i="40" s="1"/>
  <c r="F51" i="40"/>
  <c r="I51" i="40" s="1"/>
  <c r="F52" i="40"/>
  <c r="I52" i="40" s="1"/>
  <c r="F53" i="40"/>
  <c r="I53" i="40" s="1"/>
  <c r="F54" i="40"/>
  <c r="I54" i="40" s="1"/>
  <c r="F55" i="40"/>
  <c r="I55" i="40" s="1"/>
  <c r="F56" i="40"/>
  <c r="I56" i="40" s="1"/>
  <c r="F57" i="40"/>
  <c r="I57" i="40" s="1"/>
  <c r="F58" i="40"/>
  <c r="I58" i="40" s="1"/>
  <c r="F41" i="41"/>
  <c r="I41" i="41" s="1"/>
  <c r="F42" i="41"/>
  <c r="I42" i="41" s="1"/>
  <c r="F43" i="41"/>
  <c r="I43" i="41" s="1"/>
  <c r="F44" i="41"/>
  <c r="I44" i="41" s="1"/>
  <c r="F45" i="41"/>
  <c r="I45" i="41" s="1"/>
  <c r="F46" i="41"/>
  <c r="I46" i="41" s="1"/>
  <c r="F47" i="41"/>
  <c r="I47" i="41" s="1"/>
  <c r="F48" i="41"/>
  <c r="I48" i="41" s="1"/>
  <c r="F49" i="41"/>
  <c r="I49" i="41" s="1"/>
  <c r="F50" i="41"/>
  <c r="I50" i="41" s="1"/>
  <c r="F51" i="41"/>
  <c r="I51" i="41" s="1"/>
  <c r="F52" i="41"/>
  <c r="I52" i="41" s="1"/>
  <c r="F53" i="41"/>
  <c r="I53" i="41" s="1"/>
  <c r="F54" i="41"/>
  <c r="I54" i="41" s="1"/>
  <c r="F55" i="41"/>
  <c r="I55" i="41" s="1"/>
  <c r="F56" i="41"/>
  <c r="I56" i="41" s="1"/>
  <c r="F57" i="41"/>
  <c r="I57" i="41" s="1"/>
  <c r="F58" i="41"/>
  <c r="I58" i="41" s="1"/>
  <c r="F41" i="42"/>
  <c r="I41" i="42" s="1"/>
  <c r="F42" i="42"/>
  <c r="I42" i="42" s="1"/>
  <c r="F43" i="42"/>
  <c r="I43" i="42" s="1"/>
  <c r="F44" i="42"/>
  <c r="I44" i="42" s="1"/>
  <c r="F45" i="42"/>
  <c r="I45" i="42" s="1"/>
  <c r="F46" i="42"/>
  <c r="I46" i="42" s="1"/>
  <c r="F47" i="42"/>
  <c r="I47" i="42" s="1"/>
  <c r="F48" i="42"/>
  <c r="I48" i="42" s="1"/>
  <c r="F49" i="42"/>
  <c r="I49" i="42" s="1"/>
  <c r="F50" i="42"/>
  <c r="I50" i="42" s="1"/>
  <c r="F51" i="42"/>
  <c r="I51" i="42" s="1"/>
  <c r="F52" i="42"/>
  <c r="I52" i="42" s="1"/>
  <c r="F53" i="42"/>
  <c r="I53" i="42" s="1"/>
  <c r="F54" i="42"/>
  <c r="I54" i="42" s="1"/>
  <c r="F55" i="42"/>
  <c r="I55" i="42" s="1"/>
  <c r="F56" i="42"/>
  <c r="I56" i="42" s="1"/>
  <c r="F57" i="42"/>
  <c r="I57" i="42" s="1"/>
  <c r="F58" i="42"/>
  <c r="I58" i="42" s="1"/>
  <c r="F41" i="43"/>
  <c r="I41" i="43" s="1"/>
  <c r="F42" i="43"/>
  <c r="I42" i="43" s="1"/>
  <c r="F43" i="43"/>
  <c r="I43" i="43" s="1"/>
  <c r="F44" i="43"/>
  <c r="I44" i="43" s="1"/>
  <c r="F45" i="43"/>
  <c r="I45" i="43" s="1"/>
  <c r="F46" i="43"/>
  <c r="I46" i="43" s="1"/>
  <c r="F47" i="43"/>
  <c r="I47" i="43" s="1"/>
  <c r="F48" i="43"/>
  <c r="I48" i="43" s="1"/>
  <c r="F49" i="43"/>
  <c r="I49" i="43" s="1"/>
  <c r="F50" i="43"/>
  <c r="I50" i="43" s="1"/>
  <c r="F51" i="43"/>
  <c r="I51" i="43" s="1"/>
  <c r="F52" i="43"/>
  <c r="I52" i="43" s="1"/>
  <c r="F53" i="43"/>
  <c r="I53" i="43" s="1"/>
  <c r="F54" i="43"/>
  <c r="I54" i="43" s="1"/>
  <c r="F55" i="43"/>
  <c r="I55" i="43" s="1"/>
  <c r="F56" i="43"/>
  <c r="I56" i="43" s="1"/>
  <c r="F57" i="43"/>
  <c r="I57" i="43" s="1"/>
  <c r="F58" i="43"/>
  <c r="I58" i="43" s="1"/>
  <c r="F41" i="13"/>
  <c r="I41" i="13" s="1"/>
  <c r="F42" i="13"/>
  <c r="I42" i="13" s="1"/>
  <c r="F43" i="13"/>
  <c r="I43" i="13" s="1"/>
  <c r="F44" i="13"/>
  <c r="I44" i="13" s="1"/>
  <c r="F45" i="13"/>
  <c r="I45" i="13" s="1"/>
  <c r="F46" i="13"/>
  <c r="I46" i="13" s="1"/>
  <c r="F47" i="13"/>
  <c r="I47" i="13" s="1"/>
  <c r="F48" i="13"/>
  <c r="I48" i="13" s="1"/>
  <c r="F49" i="13"/>
  <c r="I49" i="13" s="1"/>
  <c r="F50" i="13"/>
  <c r="I50" i="13" s="1"/>
  <c r="F51" i="13"/>
  <c r="I51" i="13" s="1"/>
  <c r="F52" i="13"/>
  <c r="I52" i="13" s="1"/>
  <c r="F53" i="13"/>
  <c r="I53" i="13" s="1"/>
  <c r="F54" i="13"/>
  <c r="I54" i="13" s="1"/>
  <c r="F55" i="13"/>
  <c r="I55" i="13" s="1"/>
  <c r="F56" i="13"/>
  <c r="I56" i="13" s="1"/>
  <c r="F57" i="13"/>
  <c r="I57" i="13" s="1"/>
  <c r="F58" i="13"/>
  <c r="I58" i="13" s="1"/>
  <c r="F35" i="11" l="1"/>
  <c r="I35" i="11" s="1"/>
  <c r="F35" i="7"/>
  <c r="I35" i="7" s="1"/>
  <c r="F35" i="13"/>
  <c r="I35" i="13" s="1"/>
  <c r="F35" i="9"/>
  <c r="I35" i="9" s="1"/>
  <c r="F35" i="8"/>
  <c r="I35" i="8" s="1"/>
  <c r="F35" i="3"/>
  <c r="I35" i="3" s="1"/>
  <c r="F35" i="6"/>
  <c r="I35" i="6" s="1"/>
  <c r="F35" i="5"/>
  <c r="I35" i="5" s="1"/>
  <c r="F35" i="10"/>
  <c r="I35" i="10" s="1"/>
  <c r="F35" i="12"/>
  <c r="I35" i="12" s="1"/>
  <c r="F35" i="14"/>
  <c r="I35" i="14" s="1"/>
  <c r="F35" i="4"/>
  <c r="I35" i="4" s="1"/>
  <c r="F35" i="15"/>
  <c r="I35" i="15" s="1"/>
  <c r="F35" i="16"/>
  <c r="I35" i="16" s="1"/>
  <c r="F35" i="17"/>
  <c r="I35" i="17" s="1"/>
  <c r="F35" i="18"/>
  <c r="I35" i="18" s="1"/>
  <c r="F35" i="19"/>
  <c r="I35" i="19" s="1"/>
  <c r="F35" i="20"/>
  <c r="I35" i="20" s="1"/>
  <c r="F35" i="21"/>
  <c r="I35" i="21" s="1"/>
  <c r="F35" i="22"/>
  <c r="I35" i="22" s="1"/>
  <c r="F35" i="23"/>
  <c r="I35" i="23" s="1"/>
  <c r="F35" i="24"/>
  <c r="I35" i="24" s="1"/>
  <c r="F35" i="25"/>
  <c r="I35" i="25" s="1"/>
  <c r="F35" i="26"/>
  <c r="I35" i="26" s="1"/>
  <c r="F35" i="27"/>
  <c r="I35" i="27" s="1"/>
  <c r="F35" i="28"/>
  <c r="I35" i="28" s="1"/>
  <c r="F35" i="29"/>
  <c r="I35" i="29" s="1"/>
  <c r="F35" i="30"/>
  <c r="I35" i="30" s="1"/>
  <c r="F35" i="31"/>
  <c r="I35" i="31" s="1"/>
  <c r="F35" i="32"/>
  <c r="I35" i="32" s="1"/>
  <c r="F35" i="33"/>
  <c r="I35" i="33" s="1"/>
  <c r="F35" i="34"/>
  <c r="I35" i="34" s="1"/>
  <c r="F35" i="35"/>
  <c r="I35" i="35" s="1"/>
  <c r="F35" i="36"/>
  <c r="I35" i="36" s="1"/>
  <c r="F35" i="37"/>
  <c r="I35" i="37" s="1"/>
  <c r="F35" i="38"/>
  <c r="I35" i="38" s="1"/>
  <c r="F35" i="39"/>
  <c r="I35" i="39" s="1"/>
  <c r="F35" i="40"/>
  <c r="I35" i="40" s="1"/>
  <c r="F35" i="41"/>
  <c r="I35" i="41" s="1"/>
  <c r="F35" i="42"/>
  <c r="I35" i="42" s="1"/>
  <c r="F35" i="43"/>
  <c r="I35" i="43" s="1"/>
  <c r="E35" i="1"/>
  <c r="F35" i="1" s="1"/>
  <c r="I35" i="1" s="1"/>
  <c r="E18" i="1" l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6" i="1"/>
  <c r="E37" i="1"/>
  <c r="E38" i="1"/>
  <c r="E39" i="1"/>
  <c r="E40" i="1"/>
  <c r="F25" i="1" l="1"/>
  <c r="I25" i="1" s="1"/>
  <c r="F26" i="1"/>
  <c r="I26" i="1" s="1"/>
  <c r="F28" i="1"/>
  <c r="I28" i="1" s="1"/>
  <c r="F29" i="1"/>
  <c r="I29" i="1" s="1"/>
  <c r="F30" i="1"/>
  <c r="I30" i="1" s="1"/>
  <c r="F31" i="1"/>
  <c r="I31" i="1" s="1"/>
  <c r="F32" i="1"/>
  <c r="I32" i="1" s="1"/>
  <c r="F33" i="1"/>
  <c r="I33" i="1" s="1"/>
  <c r="F34" i="1"/>
  <c r="I34" i="1" s="1"/>
  <c r="F37" i="1"/>
  <c r="I37" i="1" s="1"/>
  <c r="F38" i="1"/>
  <c r="I38" i="1" s="1"/>
  <c r="F39" i="1"/>
  <c r="I39" i="1" s="1"/>
  <c r="F40" i="1"/>
  <c r="I40" i="1" s="1"/>
  <c r="F13" i="11"/>
  <c r="I13" i="11" s="1"/>
  <c r="F14" i="11"/>
  <c r="I14" i="11" s="1"/>
  <c r="F15" i="11"/>
  <c r="I15" i="11" s="1"/>
  <c r="F16" i="11"/>
  <c r="I16" i="11" s="1"/>
  <c r="F17" i="11"/>
  <c r="I17" i="11" s="1"/>
  <c r="F18" i="11"/>
  <c r="I18" i="11" s="1"/>
  <c r="F19" i="11"/>
  <c r="I19" i="11" s="1"/>
  <c r="F20" i="11"/>
  <c r="I20" i="11" s="1"/>
  <c r="F21" i="11"/>
  <c r="I21" i="11" s="1"/>
  <c r="F22" i="11"/>
  <c r="I22" i="11" s="1"/>
  <c r="F23" i="11"/>
  <c r="I23" i="11" s="1"/>
  <c r="F24" i="11"/>
  <c r="I24" i="11" s="1"/>
  <c r="F25" i="11"/>
  <c r="I25" i="11" s="1"/>
  <c r="F26" i="11"/>
  <c r="I26" i="11" s="1"/>
  <c r="F27" i="11"/>
  <c r="I27" i="11" s="1"/>
  <c r="F28" i="11"/>
  <c r="I28" i="11" s="1"/>
  <c r="F29" i="11"/>
  <c r="I29" i="11" s="1"/>
  <c r="F30" i="11"/>
  <c r="I30" i="11" s="1"/>
  <c r="F31" i="11"/>
  <c r="I31" i="11" s="1"/>
  <c r="F32" i="11"/>
  <c r="I32" i="11" s="1"/>
  <c r="F33" i="11"/>
  <c r="I33" i="11" s="1"/>
  <c r="F34" i="11"/>
  <c r="I34" i="11" s="1"/>
  <c r="F36" i="11"/>
  <c r="I36" i="11" s="1"/>
  <c r="F37" i="11"/>
  <c r="I37" i="11" s="1"/>
  <c r="F38" i="11"/>
  <c r="I38" i="11" s="1"/>
  <c r="F39" i="11"/>
  <c r="I39" i="11" s="1"/>
  <c r="F40" i="11"/>
  <c r="I40" i="11" s="1"/>
  <c r="F13" i="7"/>
  <c r="I13" i="7" s="1"/>
  <c r="F14" i="7"/>
  <c r="I14" i="7" s="1"/>
  <c r="F15" i="7"/>
  <c r="I15" i="7" s="1"/>
  <c r="F16" i="7"/>
  <c r="I16" i="7" s="1"/>
  <c r="F17" i="7"/>
  <c r="I17" i="7" s="1"/>
  <c r="F18" i="7"/>
  <c r="I18" i="7" s="1"/>
  <c r="F19" i="7"/>
  <c r="I19" i="7" s="1"/>
  <c r="F20" i="7"/>
  <c r="I20" i="7" s="1"/>
  <c r="F21" i="7"/>
  <c r="I21" i="7" s="1"/>
  <c r="F22" i="7"/>
  <c r="I22" i="7" s="1"/>
  <c r="F23" i="7"/>
  <c r="I23" i="7" s="1"/>
  <c r="F24" i="7"/>
  <c r="I24" i="7" s="1"/>
  <c r="F25" i="7"/>
  <c r="I25" i="7" s="1"/>
  <c r="F26" i="7"/>
  <c r="I26" i="7" s="1"/>
  <c r="F27" i="7"/>
  <c r="I27" i="7" s="1"/>
  <c r="F28" i="7"/>
  <c r="I28" i="7" s="1"/>
  <c r="F29" i="7"/>
  <c r="I29" i="7" s="1"/>
  <c r="F30" i="7"/>
  <c r="I30" i="7" s="1"/>
  <c r="F31" i="7"/>
  <c r="I31" i="7" s="1"/>
  <c r="F32" i="7"/>
  <c r="I32" i="7" s="1"/>
  <c r="F33" i="7"/>
  <c r="I33" i="7" s="1"/>
  <c r="F34" i="7"/>
  <c r="I34" i="7" s="1"/>
  <c r="F36" i="7"/>
  <c r="I36" i="7" s="1"/>
  <c r="F37" i="7"/>
  <c r="I37" i="7" s="1"/>
  <c r="F38" i="7"/>
  <c r="I38" i="7" s="1"/>
  <c r="F39" i="7"/>
  <c r="I39" i="7" s="1"/>
  <c r="F40" i="7"/>
  <c r="I40" i="7" s="1"/>
  <c r="F13" i="13"/>
  <c r="I13" i="13" s="1"/>
  <c r="F14" i="13"/>
  <c r="I14" i="13" s="1"/>
  <c r="F15" i="13"/>
  <c r="I15" i="13" s="1"/>
  <c r="F16" i="13"/>
  <c r="I16" i="13" s="1"/>
  <c r="F17" i="13"/>
  <c r="I17" i="13" s="1"/>
  <c r="F18" i="13"/>
  <c r="I18" i="13" s="1"/>
  <c r="F19" i="13"/>
  <c r="I19" i="13" s="1"/>
  <c r="F20" i="13"/>
  <c r="I20" i="13" s="1"/>
  <c r="F21" i="13"/>
  <c r="I21" i="13" s="1"/>
  <c r="F22" i="13"/>
  <c r="I22" i="13" s="1"/>
  <c r="F23" i="13"/>
  <c r="I23" i="13" s="1"/>
  <c r="F24" i="13"/>
  <c r="I24" i="13" s="1"/>
  <c r="F25" i="13"/>
  <c r="I25" i="13" s="1"/>
  <c r="F26" i="13"/>
  <c r="I26" i="13" s="1"/>
  <c r="F27" i="13"/>
  <c r="I27" i="13" s="1"/>
  <c r="F28" i="13"/>
  <c r="I28" i="13" s="1"/>
  <c r="F29" i="13"/>
  <c r="I29" i="13" s="1"/>
  <c r="F30" i="13"/>
  <c r="I30" i="13" s="1"/>
  <c r="F31" i="13"/>
  <c r="I31" i="13" s="1"/>
  <c r="F32" i="13"/>
  <c r="I32" i="13" s="1"/>
  <c r="F33" i="13"/>
  <c r="I33" i="13" s="1"/>
  <c r="F34" i="13"/>
  <c r="I34" i="13" s="1"/>
  <c r="F36" i="13"/>
  <c r="I36" i="13" s="1"/>
  <c r="F37" i="13"/>
  <c r="I37" i="13" s="1"/>
  <c r="F38" i="13"/>
  <c r="I38" i="13" s="1"/>
  <c r="F39" i="13"/>
  <c r="I39" i="13" s="1"/>
  <c r="F40" i="13"/>
  <c r="I40" i="13" s="1"/>
  <c r="F13" i="9"/>
  <c r="I13" i="9" s="1"/>
  <c r="F14" i="9"/>
  <c r="I14" i="9" s="1"/>
  <c r="F15" i="9"/>
  <c r="I15" i="9" s="1"/>
  <c r="F16" i="9"/>
  <c r="I16" i="9" s="1"/>
  <c r="F17" i="9"/>
  <c r="I17" i="9" s="1"/>
  <c r="F18" i="9"/>
  <c r="I18" i="9" s="1"/>
  <c r="F19" i="9"/>
  <c r="I19" i="9" s="1"/>
  <c r="F20" i="9"/>
  <c r="I20" i="9" s="1"/>
  <c r="F21" i="9"/>
  <c r="I21" i="9" s="1"/>
  <c r="F22" i="9"/>
  <c r="I22" i="9" s="1"/>
  <c r="F23" i="9"/>
  <c r="I23" i="9" s="1"/>
  <c r="F24" i="9"/>
  <c r="I24" i="9" s="1"/>
  <c r="F25" i="9"/>
  <c r="I25" i="9" s="1"/>
  <c r="F26" i="9"/>
  <c r="I26" i="9" s="1"/>
  <c r="F27" i="9"/>
  <c r="I27" i="9" s="1"/>
  <c r="F28" i="9"/>
  <c r="I28" i="9" s="1"/>
  <c r="F29" i="9"/>
  <c r="I29" i="9" s="1"/>
  <c r="F30" i="9"/>
  <c r="I30" i="9" s="1"/>
  <c r="F31" i="9"/>
  <c r="I31" i="9" s="1"/>
  <c r="F32" i="9"/>
  <c r="I32" i="9" s="1"/>
  <c r="F33" i="9"/>
  <c r="I33" i="9" s="1"/>
  <c r="F34" i="9"/>
  <c r="I34" i="9" s="1"/>
  <c r="F36" i="9"/>
  <c r="I36" i="9" s="1"/>
  <c r="F37" i="9"/>
  <c r="I37" i="9" s="1"/>
  <c r="F38" i="9"/>
  <c r="I38" i="9" s="1"/>
  <c r="F39" i="9"/>
  <c r="I39" i="9" s="1"/>
  <c r="F40" i="9"/>
  <c r="I40" i="9" s="1"/>
  <c r="F13" i="8"/>
  <c r="I13" i="8" s="1"/>
  <c r="F14" i="8"/>
  <c r="I14" i="8" s="1"/>
  <c r="F15" i="8"/>
  <c r="I15" i="8" s="1"/>
  <c r="F16" i="8"/>
  <c r="I16" i="8" s="1"/>
  <c r="F17" i="8"/>
  <c r="I17" i="8" s="1"/>
  <c r="F18" i="8"/>
  <c r="I18" i="8" s="1"/>
  <c r="F19" i="8"/>
  <c r="I19" i="8" s="1"/>
  <c r="F20" i="8"/>
  <c r="I20" i="8" s="1"/>
  <c r="F21" i="8"/>
  <c r="I21" i="8" s="1"/>
  <c r="F22" i="8"/>
  <c r="I22" i="8" s="1"/>
  <c r="F23" i="8"/>
  <c r="I23" i="8" s="1"/>
  <c r="F24" i="8"/>
  <c r="I24" i="8" s="1"/>
  <c r="F25" i="8"/>
  <c r="I25" i="8" s="1"/>
  <c r="F26" i="8"/>
  <c r="I26" i="8" s="1"/>
  <c r="F27" i="8"/>
  <c r="I27" i="8" s="1"/>
  <c r="F28" i="8"/>
  <c r="I28" i="8" s="1"/>
  <c r="F29" i="8"/>
  <c r="I29" i="8" s="1"/>
  <c r="F30" i="8"/>
  <c r="I30" i="8" s="1"/>
  <c r="F31" i="8"/>
  <c r="I31" i="8" s="1"/>
  <c r="F32" i="8"/>
  <c r="I32" i="8" s="1"/>
  <c r="F33" i="8"/>
  <c r="I33" i="8" s="1"/>
  <c r="F34" i="8"/>
  <c r="I34" i="8" s="1"/>
  <c r="F36" i="8"/>
  <c r="I36" i="8" s="1"/>
  <c r="F37" i="8"/>
  <c r="I37" i="8" s="1"/>
  <c r="F38" i="8"/>
  <c r="I38" i="8" s="1"/>
  <c r="F39" i="8"/>
  <c r="I39" i="8" s="1"/>
  <c r="F40" i="8"/>
  <c r="I40" i="8" s="1"/>
  <c r="F13" i="3"/>
  <c r="I13" i="3" s="1"/>
  <c r="F14" i="3"/>
  <c r="I14" i="3" s="1"/>
  <c r="F15" i="3"/>
  <c r="I15" i="3" s="1"/>
  <c r="F16" i="3"/>
  <c r="I16" i="3" s="1"/>
  <c r="F17" i="3"/>
  <c r="I17" i="3" s="1"/>
  <c r="F18" i="3"/>
  <c r="I18" i="3" s="1"/>
  <c r="F19" i="3"/>
  <c r="I19" i="3" s="1"/>
  <c r="F20" i="3"/>
  <c r="I20" i="3" s="1"/>
  <c r="F21" i="3"/>
  <c r="I21" i="3" s="1"/>
  <c r="F22" i="3"/>
  <c r="I22" i="3" s="1"/>
  <c r="F23" i="3"/>
  <c r="I23" i="3" s="1"/>
  <c r="F24" i="3"/>
  <c r="I24" i="3" s="1"/>
  <c r="F25" i="3"/>
  <c r="I25" i="3" s="1"/>
  <c r="F26" i="3"/>
  <c r="I26" i="3" s="1"/>
  <c r="F27" i="3"/>
  <c r="I27" i="3" s="1"/>
  <c r="F28" i="3"/>
  <c r="I28" i="3" s="1"/>
  <c r="F29" i="3"/>
  <c r="I29" i="3" s="1"/>
  <c r="F30" i="3"/>
  <c r="I30" i="3" s="1"/>
  <c r="F31" i="3"/>
  <c r="I31" i="3" s="1"/>
  <c r="F32" i="3"/>
  <c r="I32" i="3" s="1"/>
  <c r="F33" i="3"/>
  <c r="I33" i="3" s="1"/>
  <c r="F34" i="3"/>
  <c r="I34" i="3" s="1"/>
  <c r="F36" i="3"/>
  <c r="I36" i="3" s="1"/>
  <c r="F37" i="3"/>
  <c r="I37" i="3" s="1"/>
  <c r="F38" i="3"/>
  <c r="I38" i="3" s="1"/>
  <c r="F39" i="3"/>
  <c r="I39" i="3" s="1"/>
  <c r="F40" i="3"/>
  <c r="I40" i="3" s="1"/>
  <c r="F13" i="6"/>
  <c r="I13" i="6" s="1"/>
  <c r="F14" i="6"/>
  <c r="I14" i="6" s="1"/>
  <c r="F15" i="6"/>
  <c r="I15" i="6" s="1"/>
  <c r="F16" i="6"/>
  <c r="I16" i="6" s="1"/>
  <c r="F17" i="6"/>
  <c r="I17" i="6" s="1"/>
  <c r="F18" i="6"/>
  <c r="I18" i="6" s="1"/>
  <c r="F19" i="6"/>
  <c r="I19" i="6" s="1"/>
  <c r="F20" i="6"/>
  <c r="I20" i="6" s="1"/>
  <c r="F21" i="6"/>
  <c r="I21" i="6" s="1"/>
  <c r="F22" i="6"/>
  <c r="I22" i="6" s="1"/>
  <c r="F23" i="6"/>
  <c r="I23" i="6" s="1"/>
  <c r="F24" i="6"/>
  <c r="I24" i="6" s="1"/>
  <c r="F25" i="6"/>
  <c r="I25" i="6" s="1"/>
  <c r="F26" i="6"/>
  <c r="I26" i="6" s="1"/>
  <c r="F27" i="6"/>
  <c r="I27" i="6" s="1"/>
  <c r="F28" i="6"/>
  <c r="I28" i="6" s="1"/>
  <c r="F29" i="6"/>
  <c r="I29" i="6" s="1"/>
  <c r="F30" i="6"/>
  <c r="I30" i="6" s="1"/>
  <c r="F31" i="6"/>
  <c r="I31" i="6" s="1"/>
  <c r="F32" i="6"/>
  <c r="I32" i="6" s="1"/>
  <c r="F33" i="6"/>
  <c r="I33" i="6" s="1"/>
  <c r="F34" i="6"/>
  <c r="I34" i="6" s="1"/>
  <c r="F36" i="6"/>
  <c r="I36" i="6" s="1"/>
  <c r="F37" i="6"/>
  <c r="I37" i="6" s="1"/>
  <c r="F38" i="6"/>
  <c r="I38" i="6" s="1"/>
  <c r="F39" i="6"/>
  <c r="I39" i="6" s="1"/>
  <c r="F40" i="6"/>
  <c r="I40" i="6" s="1"/>
  <c r="F13" i="5"/>
  <c r="I13" i="5" s="1"/>
  <c r="F14" i="5"/>
  <c r="I14" i="5" s="1"/>
  <c r="F15" i="5"/>
  <c r="I15" i="5" s="1"/>
  <c r="F16" i="5"/>
  <c r="I16" i="5" s="1"/>
  <c r="F17" i="5"/>
  <c r="I17" i="5" s="1"/>
  <c r="F18" i="5"/>
  <c r="I18" i="5" s="1"/>
  <c r="F19" i="5"/>
  <c r="I19" i="5" s="1"/>
  <c r="F20" i="5"/>
  <c r="I20" i="5" s="1"/>
  <c r="F21" i="5"/>
  <c r="I21" i="5" s="1"/>
  <c r="F22" i="5"/>
  <c r="I22" i="5" s="1"/>
  <c r="F23" i="5"/>
  <c r="I23" i="5" s="1"/>
  <c r="F24" i="5"/>
  <c r="I24" i="5" s="1"/>
  <c r="F25" i="5"/>
  <c r="I25" i="5" s="1"/>
  <c r="F26" i="5"/>
  <c r="I26" i="5" s="1"/>
  <c r="F27" i="5"/>
  <c r="I27" i="5" s="1"/>
  <c r="F28" i="5"/>
  <c r="I28" i="5" s="1"/>
  <c r="F29" i="5"/>
  <c r="I29" i="5" s="1"/>
  <c r="F30" i="5"/>
  <c r="I30" i="5" s="1"/>
  <c r="F31" i="5"/>
  <c r="I31" i="5" s="1"/>
  <c r="F32" i="5"/>
  <c r="I32" i="5" s="1"/>
  <c r="F33" i="5"/>
  <c r="I33" i="5" s="1"/>
  <c r="F34" i="5"/>
  <c r="I34" i="5" s="1"/>
  <c r="F36" i="5"/>
  <c r="I36" i="5" s="1"/>
  <c r="F37" i="5"/>
  <c r="I37" i="5" s="1"/>
  <c r="F38" i="5"/>
  <c r="I38" i="5" s="1"/>
  <c r="F39" i="5"/>
  <c r="I39" i="5" s="1"/>
  <c r="F40" i="5"/>
  <c r="I40" i="5" s="1"/>
  <c r="F13" i="10"/>
  <c r="I13" i="10" s="1"/>
  <c r="F14" i="10"/>
  <c r="I14" i="10" s="1"/>
  <c r="F15" i="10"/>
  <c r="I15" i="10" s="1"/>
  <c r="F16" i="10"/>
  <c r="I16" i="10" s="1"/>
  <c r="F17" i="10"/>
  <c r="I17" i="10" s="1"/>
  <c r="F18" i="10"/>
  <c r="I18" i="10" s="1"/>
  <c r="F19" i="10"/>
  <c r="I19" i="10" s="1"/>
  <c r="F20" i="10"/>
  <c r="I20" i="10" s="1"/>
  <c r="F21" i="10"/>
  <c r="I21" i="10" s="1"/>
  <c r="F22" i="10"/>
  <c r="I22" i="10" s="1"/>
  <c r="F23" i="10"/>
  <c r="I23" i="10" s="1"/>
  <c r="F24" i="10"/>
  <c r="I24" i="10" s="1"/>
  <c r="F25" i="10"/>
  <c r="I25" i="10" s="1"/>
  <c r="F26" i="10"/>
  <c r="I26" i="10" s="1"/>
  <c r="F27" i="10"/>
  <c r="I27" i="10" s="1"/>
  <c r="F28" i="10"/>
  <c r="I28" i="10" s="1"/>
  <c r="F29" i="10"/>
  <c r="I29" i="10" s="1"/>
  <c r="F30" i="10"/>
  <c r="I30" i="10" s="1"/>
  <c r="F31" i="10"/>
  <c r="I31" i="10" s="1"/>
  <c r="F32" i="10"/>
  <c r="I32" i="10" s="1"/>
  <c r="F33" i="10"/>
  <c r="I33" i="10" s="1"/>
  <c r="F34" i="10"/>
  <c r="I34" i="10" s="1"/>
  <c r="F36" i="10"/>
  <c r="I36" i="10" s="1"/>
  <c r="F37" i="10"/>
  <c r="I37" i="10" s="1"/>
  <c r="F38" i="10"/>
  <c r="I38" i="10" s="1"/>
  <c r="F39" i="10"/>
  <c r="I39" i="10" s="1"/>
  <c r="F40" i="10"/>
  <c r="I40" i="10" s="1"/>
  <c r="F13" i="12"/>
  <c r="I13" i="12" s="1"/>
  <c r="F14" i="12"/>
  <c r="I14" i="12" s="1"/>
  <c r="F15" i="12"/>
  <c r="I15" i="12" s="1"/>
  <c r="F16" i="12"/>
  <c r="I16" i="12" s="1"/>
  <c r="F17" i="12"/>
  <c r="I17" i="12" s="1"/>
  <c r="F18" i="12"/>
  <c r="I18" i="12" s="1"/>
  <c r="F19" i="12"/>
  <c r="I19" i="12" s="1"/>
  <c r="F20" i="12"/>
  <c r="I20" i="12" s="1"/>
  <c r="F21" i="12"/>
  <c r="I21" i="12" s="1"/>
  <c r="F22" i="12"/>
  <c r="I22" i="12" s="1"/>
  <c r="F23" i="12"/>
  <c r="I23" i="12" s="1"/>
  <c r="F24" i="12"/>
  <c r="I24" i="12" s="1"/>
  <c r="F25" i="12"/>
  <c r="I25" i="12" s="1"/>
  <c r="F26" i="12"/>
  <c r="I26" i="12" s="1"/>
  <c r="F27" i="12"/>
  <c r="I27" i="12" s="1"/>
  <c r="F28" i="12"/>
  <c r="I28" i="12" s="1"/>
  <c r="F29" i="12"/>
  <c r="I29" i="12" s="1"/>
  <c r="F30" i="12"/>
  <c r="I30" i="12" s="1"/>
  <c r="F31" i="12"/>
  <c r="I31" i="12" s="1"/>
  <c r="F32" i="12"/>
  <c r="I32" i="12" s="1"/>
  <c r="F33" i="12"/>
  <c r="I33" i="12" s="1"/>
  <c r="F34" i="12"/>
  <c r="I34" i="12" s="1"/>
  <c r="F36" i="12"/>
  <c r="I36" i="12" s="1"/>
  <c r="F37" i="12"/>
  <c r="I37" i="12" s="1"/>
  <c r="F38" i="12"/>
  <c r="I38" i="12" s="1"/>
  <c r="F39" i="12"/>
  <c r="I39" i="12" s="1"/>
  <c r="F40" i="12"/>
  <c r="I40" i="12" s="1"/>
  <c r="F13" i="14"/>
  <c r="I13" i="14" s="1"/>
  <c r="F14" i="14"/>
  <c r="I14" i="14" s="1"/>
  <c r="F15" i="14"/>
  <c r="I15" i="14" s="1"/>
  <c r="F16" i="14"/>
  <c r="I16" i="14" s="1"/>
  <c r="F17" i="14"/>
  <c r="I17" i="14" s="1"/>
  <c r="F18" i="14"/>
  <c r="I18" i="14" s="1"/>
  <c r="F19" i="14"/>
  <c r="I19" i="14" s="1"/>
  <c r="F20" i="14"/>
  <c r="I20" i="14" s="1"/>
  <c r="F21" i="14"/>
  <c r="I21" i="14" s="1"/>
  <c r="F22" i="14"/>
  <c r="I22" i="14" s="1"/>
  <c r="F23" i="14"/>
  <c r="I23" i="14" s="1"/>
  <c r="F24" i="14"/>
  <c r="I24" i="14" s="1"/>
  <c r="F25" i="14"/>
  <c r="I25" i="14" s="1"/>
  <c r="F26" i="14"/>
  <c r="I26" i="14" s="1"/>
  <c r="F27" i="14"/>
  <c r="I27" i="14" s="1"/>
  <c r="F28" i="14"/>
  <c r="I28" i="14" s="1"/>
  <c r="F29" i="14"/>
  <c r="I29" i="14" s="1"/>
  <c r="F30" i="14"/>
  <c r="I30" i="14" s="1"/>
  <c r="F31" i="14"/>
  <c r="I31" i="14" s="1"/>
  <c r="F32" i="14"/>
  <c r="I32" i="14" s="1"/>
  <c r="F33" i="14"/>
  <c r="I33" i="14" s="1"/>
  <c r="F34" i="14"/>
  <c r="I34" i="14" s="1"/>
  <c r="F36" i="14"/>
  <c r="I36" i="14" s="1"/>
  <c r="F37" i="14"/>
  <c r="I37" i="14" s="1"/>
  <c r="F38" i="14"/>
  <c r="I38" i="14" s="1"/>
  <c r="F39" i="14"/>
  <c r="I39" i="14" s="1"/>
  <c r="F40" i="14"/>
  <c r="I40" i="14" s="1"/>
  <c r="F14" i="4"/>
  <c r="I14" i="4" s="1"/>
  <c r="F15" i="4"/>
  <c r="I15" i="4" s="1"/>
  <c r="F16" i="4"/>
  <c r="I16" i="4" s="1"/>
  <c r="F17" i="4"/>
  <c r="I17" i="4" s="1"/>
  <c r="F18" i="4"/>
  <c r="I18" i="4" s="1"/>
  <c r="F19" i="4"/>
  <c r="I19" i="4" s="1"/>
  <c r="F20" i="4"/>
  <c r="I20" i="4" s="1"/>
  <c r="F21" i="4"/>
  <c r="I21" i="4" s="1"/>
  <c r="F22" i="4"/>
  <c r="I22" i="4" s="1"/>
  <c r="F23" i="4"/>
  <c r="I23" i="4" s="1"/>
  <c r="F24" i="4"/>
  <c r="I24" i="4" s="1"/>
  <c r="F25" i="4"/>
  <c r="I25" i="4" s="1"/>
  <c r="F26" i="4"/>
  <c r="I26" i="4" s="1"/>
  <c r="F27" i="4"/>
  <c r="I27" i="4" s="1"/>
  <c r="F28" i="4"/>
  <c r="I28" i="4" s="1"/>
  <c r="F29" i="4"/>
  <c r="I29" i="4" s="1"/>
  <c r="F30" i="4"/>
  <c r="I30" i="4" s="1"/>
  <c r="F31" i="4"/>
  <c r="I31" i="4" s="1"/>
  <c r="F32" i="4"/>
  <c r="I32" i="4" s="1"/>
  <c r="F33" i="4"/>
  <c r="I33" i="4" s="1"/>
  <c r="F34" i="4"/>
  <c r="I34" i="4" s="1"/>
  <c r="F36" i="4"/>
  <c r="I36" i="4" s="1"/>
  <c r="F37" i="4"/>
  <c r="I37" i="4" s="1"/>
  <c r="F38" i="4"/>
  <c r="I38" i="4" s="1"/>
  <c r="F39" i="4"/>
  <c r="I39" i="4" s="1"/>
  <c r="F40" i="4"/>
  <c r="I40" i="4" s="1"/>
  <c r="F13" i="15"/>
  <c r="I13" i="15" s="1"/>
  <c r="F14" i="15"/>
  <c r="I14" i="15" s="1"/>
  <c r="F15" i="15"/>
  <c r="I15" i="15" s="1"/>
  <c r="F16" i="15"/>
  <c r="I16" i="15" s="1"/>
  <c r="F17" i="15"/>
  <c r="I17" i="15" s="1"/>
  <c r="F18" i="15"/>
  <c r="I18" i="15" s="1"/>
  <c r="F19" i="15"/>
  <c r="I19" i="15" s="1"/>
  <c r="F20" i="15"/>
  <c r="I20" i="15" s="1"/>
  <c r="F21" i="15"/>
  <c r="I21" i="15" s="1"/>
  <c r="F22" i="15"/>
  <c r="I22" i="15" s="1"/>
  <c r="F23" i="15"/>
  <c r="I23" i="15" s="1"/>
  <c r="F24" i="15"/>
  <c r="I24" i="15" s="1"/>
  <c r="F25" i="15"/>
  <c r="I25" i="15" s="1"/>
  <c r="F26" i="15"/>
  <c r="I26" i="15" s="1"/>
  <c r="F27" i="15"/>
  <c r="I27" i="15" s="1"/>
  <c r="F28" i="15"/>
  <c r="I28" i="15" s="1"/>
  <c r="F29" i="15"/>
  <c r="I29" i="15" s="1"/>
  <c r="F30" i="15"/>
  <c r="I30" i="15" s="1"/>
  <c r="F31" i="15"/>
  <c r="I31" i="15" s="1"/>
  <c r="F32" i="15"/>
  <c r="I32" i="15" s="1"/>
  <c r="F33" i="15"/>
  <c r="I33" i="15" s="1"/>
  <c r="F34" i="15"/>
  <c r="I34" i="15" s="1"/>
  <c r="F36" i="15"/>
  <c r="I36" i="15" s="1"/>
  <c r="F37" i="15"/>
  <c r="I37" i="15" s="1"/>
  <c r="F38" i="15"/>
  <c r="I38" i="15" s="1"/>
  <c r="F39" i="15"/>
  <c r="I39" i="15" s="1"/>
  <c r="F40" i="15"/>
  <c r="I40" i="15" s="1"/>
  <c r="F13" i="16"/>
  <c r="I13" i="16" s="1"/>
  <c r="F14" i="16"/>
  <c r="I14" i="16" s="1"/>
  <c r="F15" i="16"/>
  <c r="I15" i="16" s="1"/>
  <c r="F16" i="16"/>
  <c r="I16" i="16" s="1"/>
  <c r="F17" i="16"/>
  <c r="I17" i="16" s="1"/>
  <c r="F18" i="16"/>
  <c r="I18" i="16" s="1"/>
  <c r="F19" i="16"/>
  <c r="I19" i="16" s="1"/>
  <c r="F20" i="16"/>
  <c r="I20" i="16" s="1"/>
  <c r="F21" i="16"/>
  <c r="I21" i="16" s="1"/>
  <c r="F22" i="16"/>
  <c r="I22" i="16" s="1"/>
  <c r="F23" i="16"/>
  <c r="I23" i="16" s="1"/>
  <c r="F24" i="16"/>
  <c r="I24" i="16" s="1"/>
  <c r="F25" i="16"/>
  <c r="I25" i="16" s="1"/>
  <c r="F26" i="16"/>
  <c r="I26" i="16" s="1"/>
  <c r="F27" i="16"/>
  <c r="I27" i="16" s="1"/>
  <c r="F28" i="16"/>
  <c r="I28" i="16" s="1"/>
  <c r="F29" i="16"/>
  <c r="I29" i="16" s="1"/>
  <c r="F30" i="16"/>
  <c r="I30" i="16" s="1"/>
  <c r="F31" i="16"/>
  <c r="I31" i="16" s="1"/>
  <c r="F32" i="16"/>
  <c r="I32" i="16" s="1"/>
  <c r="F33" i="16"/>
  <c r="I33" i="16" s="1"/>
  <c r="F34" i="16"/>
  <c r="I34" i="16" s="1"/>
  <c r="F36" i="16"/>
  <c r="I36" i="16" s="1"/>
  <c r="F37" i="16"/>
  <c r="I37" i="16" s="1"/>
  <c r="F38" i="16"/>
  <c r="I38" i="16" s="1"/>
  <c r="F39" i="16"/>
  <c r="I39" i="16" s="1"/>
  <c r="F40" i="16"/>
  <c r="I40" i="16" s="1"/>
  <c r="F13" i="17"/>
  <c r="I13" i="17" s="1"/>
  <c r="F14" i="17"/>
  <c r="I14" i="17" s="1"/>
  <c r="F15" i="17"/>
  <c r="I15" i="17" s="1"/>
  <c r="F16" i="17"/>
  <c r="I16" i="17" s="1"/>
  <c r="F17" i="17"/>
  <c r="I17" i="17" s="1"/>
  <c r="F18" i="17"/>
  <c r="I18" i="17" s="1"/>
  <c r="F19" i="17"/>
  <c r="I19" i="17" s="1"/>
  <c r="F20" i="17"/>
  <c r="I20" i="17" s="1"/>
  <c r="F21" i="17"/>
  <c r="I21" i="17" s="1"/>
  <c r="F22" i="17"/>
  <c r="I22" i="17" s="1"/>
  <c r="F23" i="17"/>
  <c r="I23" i="17" s="1"/>
  <c r="F24" i="17"/>
  <c r="I24" i="17" s="1"/>
  <c r="F25" i="17"/>
  <c r="I25" i="17" s="1"/>
  <c r="F26" i="17"/>
  <c r="I26" i="17" s="1"/>
  <c r="F27" i="17"/>
  <c r="I27" i="17" s="1"/>
  <c r="F28" i="17"/>
  <c r="I28" i="17" s="1"/>
  <c r="F29" i="17"/>
  <c r="I29" i="17" s="1"/>
  <c r="F30" i="17"/>
  <c r="I30" i="17" s="1"/>
  <c r="F31" i="17"/>
  <c r="I31" i="17" s="1"/>
  <c r="F32" i="17"/>
  <c r="I32" i="17" s="1"/>
  <c r="F33" i="17"/>
  <c r="I33" i="17" s="1"/>
  <c r="F34" i="17"/>
  <c r="I34" i="17" s="1"/>
  <c r="F36" i="17"/>
  <c r="I36" i="17" s="1"/>
  <c r="F37" i="17"/>
  <c r="I37" i="17" s="1"/>
  <c r="F38" i="17"/>
  <c r="I38" i="17" s="1"/>
  <c r="F39" i="17"/>
  <c r="I39" i="17" s="1"/>
  <c r="F40" i="17"/>
  <c r="I40" i="17" s="1"/>
  <c r="F13" i="18"/>
  <c r="I13" i="18" s="1"/>
  <c r="F14" i="18"/>
  <c r="I14" i="18" s="1"/>
  <c r="F15" i="18"/>
  <c r="I15" i="18" s="1"/>
  <c r="F16" i="18"/>
  <c r="I16" i="18" s="1"/>
  <c r="F17" i="18"/>
  <c r="I17" i="18" s="1"/>
  <c r="F18" i="18"/>
  <c r="I18" i="18" s="1"/>
  <c r="F19" i="18"/>
  <c r="I19" i="18" s="1"/>
  <c r="F20" i="18"/>
  <c r="I20" i="18" s="1"/>
  <c r="F21" i="18"/>
  <c r="I21" i="18" s="1"/>
  <c r="F22" i="18"/>
  <c r="I22" i="18" s="1"/>
  <c r="F23" i="18"/>
  <c r="I23" i="18" s="1"/>
  <c r="F24" i="18"/>
  <c r="I24" i="18" s="1"/>
  <c r="F25" i="18"/>
  <c r="I25" i="18" s="1"/>
  <c r="F26" i="18"/>
  <c r="I26" i="18" s="1"/>
  <c r="F27" i="18"/>
  <c r="I27" i="18" s="1"/>
  <c r="F28" i="18"/>
  <c r="I28" i="18" s="1"/>
  <c r="F29" i="18"/>
  <c r="I29" i="18" s="1"/>
  <c r="F30" i="18"/>
  <c r="I30" i="18" s="1"/>
  <c r="F31" i="18"/>
  <c r="I31" i="18" s="1"/>
  <c r="F32" i="18"/>
  <c r="I32" i="18" s="1"/>
  <c r="F33" i="18"/>
  <c r="I33" i="18" s="1"/>
  <c r="F34" i="18"/>
  <c r="I34" i="18" s="1"/>
  <c r="F36" i="18"/>
  <c r="I36" i="18" s="1"/>
  <c r="F37" i="18"/>
  <c r="I37" i="18" s="1"/>
  <c r="F38" i="18"/>
  <c r="I38" i="18" s="1"/>
  <c r="F39" i="18"/>
  <c r="I39" i="18" s="1"/>
  <c r="F40" i="18"/>
  <c r="I40" i="18" s="1"/>
  <c r="F13" i="19"/>
  <c r="I13" i="19" s="1"/>
  <c r="F14" i="19"/>
  <c r="I14" i="19" s="1"/>
  <c r="F15" i="19"/>
  <c r="I15" i="19" s="1"/>
  <c r="F16" i="19"/>
  <c r="I16" i="19" s="1"/>
  <c r="F17" i="19"/>
  <c r="I17" i="19" s="1"/>
  <c r="F18" i="19"/>
  <c r="I18" i="19" s="1"/>
  <c r="F19" i="19"/>
  <c r="I19" i="19" s="1"/>
  <c r="F20" i="19"/>
  <c r="I20" i="19" s="1"/>
  <c r="F21" i="19"/>
  <c r="I21" i="19" s="1"/>
  <c r="F22" i="19"/>
  <c r="I22" i="19" s="1"/>
  <c r="F23" i="19"/>
  <c r="I23" i="19" s="1"/>
  <c r="F24" i="19"/>
  <c r="I24" i="19" s="1"/>
  <c r="F25" i="19"/>
  <c r="I25" i="19" s="1"/>
  <c r="F26" i="19"/>
  <c r="I26" i="19" s="1"/>
  <c r="F27" i="19"/>
  <c r="I27" i="19" s="1"/>
  <c r="F28" i="19"/>
  <c r="I28" i="19" s="1"/>
  <c r="F29" i="19"/>
  <c r="I29" i="19" s="1"/>
  <c r="F30" i="19"/>
  <c r="I30" i="19" s="1"/>
  <c r="F31" i="19"/>
  <c r="I31" i="19" s="1"/>
  <c r="F32" i="19"/>
  <c r="I32" i="19" s="1"/>
  <c r="F33" i="19"/>
  <c r="I33" i="19" s="1"/>
  <c r="F34" i="19"/>
  <c r="I34" i="19" s="1"/>
  <c r="F36" i="19"/>
  <c r="I36" i="19" s="1"/>
  <c r="F37" i="19"/>
  <c r="I37" i="19" s="1"/>
  <c r="F38" i="19"/>
  <c r="I38" i="19" s="1"/>
  <c r="F39" i="19"/>
  <c r="I39" i="19" s="1"/>
  <c r="F40" i="19"/>
  <c r="I40" i="19" s="1"/>
  <c r="F13" i="20"/>
  <c r="I13" i="20" s="1"/>
  <c r="F14" i="20"/>
  <c r="I14" i="20" s="1"/>
  <c r="F15" i="20"/>
  <c r="I15" i="20" s="1"/>
  <c r="F16" i="20"/>
  <c r="I16" i="20" s="1"/>
  <c r="F17" i="20"/>
  <c r="I17" i="20" s="1"/>
  <c r="F18" i="20"/>
  <c r="I18" i="20" s="1"/>
  <c r="F19" i="20"/>
  <c r="I19" i="20" s="1"/>
  <c r="F20" i="20"/>
  <c r="I20" i="20" s="1"/>
  <c r="F21" i="20"/>
  <c r="I21" i="20" s="1"/>
  <c r="F22" i="20"/>
  <c r="I22" i="20" s="1"/>
  <c r="F23" i="20"/>
  <c r="I23" i="20" s="1"/>
  <c r="F24" i="20"/>
  <c r="I24" i="20" s="1"/>
  <c r="F25" i="20"/>
  <c r="I25" i="20" s="1"/>
  <c r="F26" i="20"/>
  <c r="I26" i="20" s="1"/>
  <c r="F27" i="20"/>
  <c r="I27" i="20" s="1"/>
  <c r="F28" i="20"/>
  <c r="I28" i="20" s="1"/>
  <c r="F29" i="20"/>
  <c r="I29" i="20" s="1"/>
  <c r="F30" i="20"/>
  <c r="I30" i="20" s="1"/>
  <c r="F31" i="20"/>
  <c r="I31" i="20" s="1"/>
  <c r="F32" i="20"/>
  <c r="I32" i="20" s="1"/>
  <c r="F33" i="20"/>
  <c r="I33" i="20" s="1"/>
  <c r="F34" i="20"/>
  <c r="I34" i="20" s="1"/>
  <c r="F36" i="20"/>
  <c r="I36" i="20" s="1"/>
  <c r="F37" i="20"/>
  <c r="I37" i="20" s="1"/>
  <c r="F38" i="20"/>
  <c r="I38" i="20" s="1"/>
  <c r="F39" i="20"/>
  <c r="I39" i="20" s="1"/>
  <c r="F40" i="20"/>
  <c r="I40" i="20" s="1"/>
  <c r="F13" i="21"/>
  <c r="I13" i="21" s="1"/>
  <c r="F14" i="21"/>
  <c r="I14" i="21" s="1"/>
  <c r="F15" i="21"/>
  <c r="I15" i="21" s="1"/>
  <c r="F16" i="21"/>
  <c r="I16" i="21" s="1"/>
  <c r="F17" i="21"/>
  <c r="I17" i="21" s="1"/>
  <c r="F18" i="21"/>
  <c r="I18" i="21" s="1"/>
  <c r="F19" i="21"/>
  <c r="I19" i="21" s="1"/>
  <c r="F20" i="21"/>
  <c r="I20" i="21" s="1"/>
  <c r="F21" i="21"/>
  <c r="I21" i="21" s="1"/>
  <c r="F22" i="21"/>
  <c r="I22" i="21" s="1"/>
  <c r="F23" i="21"/>
  <c r="I23" i="21" s="1"/>
  <c r="F24" i="21"/>
  <c r="I24" i="21" s="1"/>
  <c r="F25" i="21"/>
  <c r="I25" i="21" s="1"/>
  <c r="F26" i="21"/>
  <c r="I26" i="21" s="1"/>
  <c r="F27" i="21"/>
  <c r="I27" i="21" s="1"/>
  <c r="F28" i="21"/>
  <c r="I28" i="21" s="1"/>
  <c r="F29" i="21"/>
  <c r="I29" i="21" s="1"/>
  <c r="F30" i="21"/>
  <c r="I30" i="21" s="1"/>
  <c r="F31" i="21"/>
  <c r="I31" i="21" s="1"/>
  <c r="F32" i="21"/>
  <c r="I32" i="21" s="1"/>
  <c r="F33" i="21"/>
  <c r="I33" i="21" s="1"/>
  <c r="F34" i="21"/>
  <c r="I34" i="21" s="1"/>
  <c r="F36" i="21"/>
  <c r="I36" i="21" s="1"/>
  <c r="F37" i="21"/>
  <c r="I37" i="21" s="1"/>
  <c r="F38" i="21"/>
  <c r="I38" i="21" s="1"/>
  <c r="F39" i="21"/>
  <c r="I39" i="21" s="1"/>
  <c r="F40" i="21"/>
  <c r="I40" i="21" s="1"/>
  <c r="F13" i="22"/>
  <c r="I13" i="22" s="1"/>
  <c r="F14" i="22"/>
  <c r="I14" i="22" s="1"/>
  <c r="F15" i="22"/>
  <c r="I15" i="22" s="1"/>
  <c r="F16" i="22"/>
  <c r="I16" i="22" s="1"/>
  <c r="F17" i="22"/>
  <c r="I17" i="22" s="1"/>
  <c r="F18" i="22"/>
  <c r="I18" i="22" s="1"/>
  <c r="F19" i="22"/>
  <c r="I19" i="22" s="1"/>
  <c r="F20" i="22"/>
  <c r="I20" i="22" s="1"/>
  <c r="F21" i="22"/>
  <c r="I21" i="22" s="1"/>
  <c r="F22" i="22"/>
  <c r="I22" i="22" s="1"/>
  <c r="F23" i="22"/>
  <c r="I23" i="22" s="1"/>
  <c r="F24" i="22"/>
  <c r="I24" i="22" s="1"/>
  <c r="F25" i="22"/>
  <c r="I25" i="22" s="1"/>
  <c r="F26" i="22"/>
  <c r="I26" i="22" s="1"/>
  <c r="F27" i="22"/>
  <c r="I27" i="22" s="1"/>
  <c r="F28" i="22"/>
  <c r="I28" i="22" s="1"/>
  <c r="F29" i="22"/>
  <c r="I29" i="22" s="1"/>
  <c r="F30" i="22"/>
  <c r="I30" i="22" s="1"/>
  <c r="F31" i="22"/>
  <c r="I31" i="22" s="1"/>
  <c r="F32" i="22"/>
  <c r="I32" i="22" s="1"/>
  <c r="F33" i="22"/>
  <c r="I33" i="22" s="1"/>
  <c r="F34" i="22"/>
  <c r="I34" i="22" s="1"/>
  <c r="F36" i="22"/>
  <c r="I36" i="22" s="1"/>
  <c r="F37" i="22"/>
  <c r="I37" i="22" s="1"/>
  <c r="F38" i="22"/>
  <c r="I38" i="22" s="1"/>
  <c r="F39" i="22"/>
  <c r="I39" i="22" s="1"/>
  <c r="F40" i="22"/>
  <c r="I40" i="22" s="1"/>
  <c r="F13" i="23"/>
  <c r="I13" i="23" s="1"/>
  <c r="F14" i="23"/>
  <c r="I14" i="23" s="1"/>
  <c r="F15" i="23"/>
  <c r="I15" i="23" s="1"/>
  <c r="F16" i="23"/>
  <c r="I16" i="23" s="1"/>
  <c r="F17" i="23"/>
  <c r="I17" i="23" s="1"/>
  <c r="F18" i="23"/>
  <c r="I18" i="23" s="1"/>
  <c r="F19" i="23"/>
  <c r="I19" i="23" s="1"/>
  <c r="F20" i="23"/>
  <c r="I20" i="23" s="1"/>
  <c r="F21" i="23"/>
  <c r="I21" i="23" s="1"/>
  <c r="F22" i="23"/>
  <c r="I22" i="23" s="1"/>
  <c r="F23" i="23"/>
  <c r="I23" i="23" s="1"/>
  <c r="F24" i="23"/>
  <c r="I24" i="23" s="1"/>
  <c r="F25" i="23"/>
  <c r="I25" i="23" s="1"/>
  <c r="F26" i="23"/>
  <c r="I26" i="23" s="1"/>
  <c r="F27" i="23"/>
  <c r="I27" i="23" s="1"/>
  <c r="F28" i="23"/>
  <c r="I28" i="23" s="1"/>
  <c r="F29" i="23"/>
  <c r="I29" i="23" s="1"/>
  <c r="F30" i="23"/>
  <c r="I30" i="23" s="1"/>
  <c r="F31" i="23"/>
  <c r="I31" i="23" s="1"/>
  <c r="F32" i="23"/>
  <c r="I32" i="23" s="1"/>
  <c r="F33" i="23"/>
  <c r="I33" i="23" s="1"/>
  <c r="F34" i="23"/>
  <c r="I34" i="23" s="1"/>
  <c r="F36" i="23"/>
  <c r="I36" i="23" s="1"/>
  <c r="F37" i="23"/>
  <c r="I37" i="23" s="1"/>
  <c r="F38" i="23"/>
  <c r="I38" i="23" s="1"/>
  <c r="F39" i="23"/>
  <c r="I39" i="23" s="1"/>
  <c r="F40" i="23"/>
  <c r="I40" i="23" s="1"/>
  <c r="F13" i="24"/>
  <c r="I13" i="24" s="1"/>
  <c r="F14" i="24"/>
  <c r="I14" i="24" s="1"/>
  <c r="F15" i="24"/>
  <c r="I15" i="24" s="1"/>
  <c r="F16" i="24"/>
  <c r="I16" i="24" s="1"/>
  <c r="F17" i="24"/>
  <c r="I17" i="24" s="1"/>
  <c r="F18" i="24"/>
  <c r="I18" i="24" s="1"/>
  <c r="F19" i="24"/>
  <c r="I19" i="24" s="1"/>
  <c r="F20" i="24"/>
  <c r="I20" i="24" s="1"/>
  <c r="F21" i="24"/>
  <c r="I21" i="24" s="1"/>
  <c r="F22" i="24"/>
  <c r="I22" i="24" s="1"/>
  <c r="F23" i="24"/>
  <c r="I23" i="24" s="1"/>
  <c r="F24" i="24"/>
  <c r="I24" i="24" s="1"/>
  <c r="F25" i="24"/>
  <c r="I25" i="24" s="1"/>
  <c r="F26" i="24"/>
  <c r="I26" i="24" s="1"/>
  <c r="F27" i="24"/>
  <c r="I27" i="24" s="1"/>
  <c r="F28" i="24"/>
  <c r="I28" i="24" s="1"/>
  <c r="F29" i="24"/>
  <c r="I29" i="24" s="1"/>
  <c r="F30" i="24"/>
  <c r="I30" i="24" s="1"/>
  <c r="F31" i="24"/>
  <c r="I31" i="24" s="1"/>
  <c r="F32" i="24"/>
  <c r="I32" i="24" s="1"/>
  <c r="F33" i="24"/>
  <c r="I33" i="24" s="1"/>
  <c r="F34" i="24"/>
  <c r="I34" i="24" s="1"/>
  <c r="F36" i="24"/>
  <c r="I36" i="24" s="1"/>
  <c r="F37" i="24"/>
  <c r="I37" i="24" s="1"/>
  <c r="F38" i="24"/>
  <c r="I38" i="24" s="1"/>
  <c r="F39" i="24"/>
  <c r="I39" i="24" s="1"/>
  <c r="F40" i="24"/>
  <c r="I40" i="24" s="1"/>
  <c r="F13" i="25"/>
  <c r="I13" i="25" s="1"/>
  <c r="F14" i="25"/>
  <c r="I14" i="25" s="1"/>
  <c r="F15" i="25"/>
  <c r="I15" i="25" s="1"/>
  <c r="F16" i="25"/>
  <c r="I16" i="25" s="1"/>
  <c r="F17" i="25"/>
  <c r="I17" i="25" s="1"/>
  <c r="F18" i="25"/>
  <c r="I18" i="25" s="1"/>
  <c r="F19" i="25"/>
  <c r="I19" i="25" s="1"/>
  <c r="F20" i="25"/>
  <c r="I20" i="25" s="1"/>
  <c r="F21" i="25"/>
  <c r="I21" i="25" s="1"/>
  <c r="F22" i="25"/>
  <c r="I22" i="25" s="1"/>
  <c r="F23" i="25"/>
  <c r="I23" i="25" s="1"/>
  <c r="F24" i="25"/>
  <c r="I24" i="25" s="1"/>
  <c r="F25" i="25"/>
  <c r="I25" i="25" s="1"/>
  <c r="F26" i="25"/>
  <c r="I26" i="25" s="1"/>
  <c r="F27" i="25"/>
  <c r="I27" i="25" s="1"/>
  <c r="F28" i="25"/>
  <c r="I28" i="25" s="1"/>
  <c r="F29" i="25"/>
  <c r="I29" i="25" s="1"/>
  <c r="F30" i="25"/>
  <c r="I30" i="25" s="1"/>
  <c r="F31" i="25"/>
  <c r="I31" i="25" s="1"/>
  <c r="F32" i="25"/>
  <c r="I32" i="25" s="1"/>
  <c r="F33" i="25"/>
  <c r="I33" i="25" s="1"/>
  <c r="F34" i="25"/>
  <c r="I34" i="25" s="1"/>
  <c r="F36" i="25"/>
  <c r="I36" i="25" s="1"/>
  <c r="F37" i="25"/>
  <c r="I37" i="25" s="1"/>
  <c r="F38" i="25"/>
  <c r="I38" i="25" s="1"/>
  <c r="F39" i="25"/>
  <c r="I39" i="25" s="1"/>
  <c r="F40" i="25"/>
  <c r="I40" i="25" s="1"/>
  <c r="F13" i="26"/>
  <c r="I13" i="26" s="1"/>
  <c r="F14" i="26"/>
  <c r="I14" i="26" s="1"/>
  <c r="F15" i="26"/>
  <c r="I15" i="26" s="1"/>
  <c r="F16" i="26"/>
  <c r="I16" i="26" s="1"/>
  <c r="F17" i="26"/>
  <c r="I17" i="26" s="1"/>
  <c r="F18" i="26"/>
  <c r="I18" i="26" s="1"/>
  <c r="F19" i="26"/>
  <c r="I19" i="26" s="1"/>
  <c r="F20" i="26"/>
  <c r="I20" i="26" s="1"/>
  <c r="F21" i="26"/>
  <c r="I21" i="26" s="1"/>
  <c r="F22" i="26"/>
  <c r="I22" i="26" s="1"/>
  <c r="F23" i="26"/>
  <c r="I23" i="26" s="1"/>
  <c r="F24" i="26"/>
  <c r="I24" i="26" s="1"/>
  <c r="F25" i="26"/>
  <c r="I25" i="26" s="1"/>
  <c r="F26" i="26"/>
  <c r="I26" i="26" s="1"/>
  <c r="F27" i="26"/>
  <c r="I27" i="26" s="1"/>
  <c r="F28" i="26"/>
  <c r="I28" i="26" s="1"/>
  <c r="F29" i="26"/>
  <c r="I29" i="26" s="1"/>
  <c r="F30" i="26"/>
  <c r="I30" i="26" s="1"/>
  <c r="F31" i="26"/>
  <c r="I31" i="26" s="1"/>
  <c r="F32" i="26"/>
  <c r="I32" i="26" s="1"/>
  <c r="F33" i="26"/>
  <c r="I33" i="26" s="1"/>
  <c r="F34" i="26"/>
  <c r="I34" i="26" s="1"/>
  <c r="F36" i="26"/>
  <c r="I36" i="26" s="1"/>
  <c r="F37" i="26"/>
  <c r="I37" i="26" s="1"/>
  <c r="F38" i="26"/>
  <c r="I38" i="26" s="1"/>
  <c r="F39" i="26"/>
  <c r="I39" i="26" s="1"/>
  <c r="F40" i="26"/>
  <c r="I40" i="26" s="1"/>
  <c r="F13" i="27"/>
  <c r="I13" i="27" s="1"/>
  <c r="F14" i="27"/>
  <c r="I14" i="27" s="1"/>
  <c r="F15" i="27"/>
  <c r="I15" i="27" s="1"/>
  <c r="F16" i="27"/>
  <c r="I16" i="27" s="1"/>
  <c r="F17" i="27"/>
  <c r="I17" i="27" s="1"/>
  <c r="F18" i="27"/>
  <c r="I18" i="27" s="1"/>
  <c r="F19" i="27"/>
  <c r="I19" i="27" s="1"/>
  <c r="F20" i="27"/>
  <c r="I20" i="27" s="1"/>
  <c r="F21" i="27"/>
  <c r="I21" i="27" s="1"/>
  <c r="F22" i="27"/>
  <c r="I22" i="27" s="1"/>
  <c r="F23" i="27"/>
  <c r="I23" i="27" s="1"/>
  <c r="F24" i="27"/>
  <c r="I24" i="27" s="1"/>
  <c r="F25" i="27"/>
  <c r="I25" i="27" s="1"/>
  <c r="F26" i="27"/>
  <c r="I26" i="27" s="1"/>
  <c r="F27" i="27"/>
  <c r="I27" i="27" s="1"/>
  <c r="F28" i="27"/>
  <c r="I28" i="27" s="1"/>
  <c r="F29" i="27"/>
  <c r="I29" i="27" s="1"/>
  <c r="F30" i="27"/>
  <c r="I30" i="27" s="1"/>
  <c r="F31" i="27"/>
  <c r="I31" i="27" s="1"/>
  <c r="F32" i="27"/>
  <c r="I32" i="27" s="1"/>
  <c r="F33" i="27"/>
  <c r="I33" i="27" s="1"/>
  <c r="F34" i="27"/>
  <c r="I34" i="27" s="1"/>
  <c r="F36" i="27"/>
  <c r="I36" i="27" s="1"/>
  <c r="F37" i="27"/>
  <c r="I37" i="27" s="1"/>
  <c r="F38" i="27"/>
  <c r="I38" i="27" s="1"/>
  <c r="F39" i="27"/>
  <c r="I39" i="27" s="1"/>
  <c r="F40" i="27"/>
  <c r="I40" i="27" s="1"/>
  <c r="F13" i="28"/>
  <c r="I13" i="28" s="1"/>
  <c r="F14" i="28"/>
  <c r="I14" i="28" s="1"/>
  <c r="F15" i="28"/>
  <c r="I15" i="28" s="1"/>
  <c r="F16" i="28"/>
  <c r="I16" i="28" s="1"/>
  <c r="F17" i="28"/>
  <c r="I17" i="28" s="1"/>
  <c r="F18" i="28"/>
  <c r="I18" i="28" s="1"/>
  <c r="F19" i="28"/>
  <c r="I19" i="28" s="1"/>
  <c r="F20" i="28"/>
  <c r="I20" i="28" s="1"/>
  <c r="F21" i="28"/>
  <c r="I21" i="28" s="1"/>
  <c r="F22" i="28"/>
  <c r="I22" i="28" s="1"/>
  <c r="F23" i="28"/>
  <c r="I23" i="28" s="1"/>
  <c r="F24" i="28"/>
  <c r="I24" i="28" s="1"/>
  <c r="F25" i="28"/>
  <c r="I25" i="28" s="1"/>
  <c r="F26" i="28"/>
  <c r="I26" i="28" s="1"/>
  <c r="F27" i="28"/>
  <c r="I27" i="28" s="1"/>
  <c r="F28" i="28"/>
  <c r="I28" i="28" s="1"/>
  <c r="F29" i="28"/>
  <c r="I29" i="28" s="1"/>
  <c r="F30" i="28"/>
  <c r="I30" i="28" s="1"/>
  <c r="F31" i="28"/>
  <c r="I31" i="28" s="1"/>
  <c r="F32" i="28"/>
  <c r="I32" i="28" s="1"/>
  <c r="F33" i="28"/>
  <c r="I33" i="28" s="1"/>
  <c r="F34" i="28"/>
  <c r="I34" i="28" s="1"/>
  <c r="F36" i="28"/>
  <c r="I36" i="28" s="1"/>
  <c r="F37" i="28"/>
  <c r="I37" i="28" s="1"/>
  <c r="F38" i="28"/>
  <c r="I38" i="28" s="1"/>
  <c r="F39" i="28"/>
  <c r="I39" i="28" s="1"/>
  <c r="F40" i="28"/>
  <c r="I40" i="28" s="1"/>
  <c r="F13" i="29"/>
  <c r="I13" i="29" s="1"/>
  <c r="F14" i="29"/>
  <c r="I14" i="29" s="1"/>
  <c r="F15" i="29"/>
  <c r="I15" i="29" s="1"/>
  <c r="F16" i="29"/>
  <c r="I16" i="29" s="1"/>
  <c r="F17" i="29"/>
  <c r="I17" i="29" s="1"/>
  <c r="F18" i="29"/>
  <c r="I18" i="29" s="1"/>
  <c r="F19" i="29"/>
  <c r="I19" i="29" s="1"/>
  <c r="F20" i="29"/>
  <c r="I20" i="29" s="1"/>
  <c r="F21" i="29"/>
  <c r="I21" i="29" s="1"/>
  <c r="F22" i="29"/>
  <c r="I22" i="29" s="1"/>
  <c r="F23" i="29"/>
  <c r="I23" i="29" s="1"/>
  <c r="F24" i="29"/>
  <c r="I24" i="29" s="1"/>
  <c r="F25" i="29"/>
  <c r="I25" i="29" s="1"/>
  <c r="F26" i="29"/>
  <c r="I26" i="29" s="1"/>
  <c r="F27" i="29"/>
  <c r="I27" i="29" s="1"/>
  <c r="F28" i="29"/>
  <c r="I28" i="29" s="1"/>
  <c r="F29" i="29"/>
  <c r="I29" i="29" s="1"/>
  <c r="F30" i="29"/>
  <c r="I30" i="29" s="1"/>
  <c r="F31" i="29"/>
  <c r="I31" i="29" s="1"/>
  <c r="F32" i="29"/>
  <c r="I32" i="29" s="1"/>
  <c r="F33" i="29"/>
  <c r="I33" i="29" s="1"/>
  <c r="F34" i="29"/>
  <c r="I34" i="29" s="1"/>
  <c r="F36" i="29"/>
  <c r="I36" i="29" s="1"/>
  <c r="F37" i="29"/>
  <c r="I37" i="29" s="1"/>
  <c r="F38" i="29"/>
  <c r="I38" i="29" s="1"/>
  <c r="F39" i="29"/>
  <c r="I39" i="29" s="1"/>
  <c r="F40" i="29"/>
  <c r="I40" i="29" s="1"/>
  <c r="F13" i="30"/>
  <c r="I13" i="30" s="1"/>
  <c r="F14" i="30"/>
  <c r="I14" i="30" s="1"/>
  <c r="F15" i="30"/>
  <c r="I15" i="30" s="1"/>
  <c r="F16" i="30"/>
  <c r="I16" i="30" s="1"/>
  <c r="F17" i="30"/>
  <c r="I17" i="30" s="1"/>
  <c r="F18" i="30"/>
  <c r="I18" i="30" s="1"/>
  <c r="F19" i="30"/>
  <c r="I19" i="30" s="1"/>
  <c r="F20" i="30"/>
  <c r="I20" i="30" s="1"/>
  <c r="F21" i="30"/>
  <c r="I21" i="30" s="1"/>
  <c r="F22" i="30"/>
  <c r="I22" i="30" s="1"/>
  <c r="F23" i="30"/>
  <c r="I23" i="30" s="1"/>
  <c r="F24" i="30"/>
  <c r="I24" i="30" s="1"/>
  <c r="F25" i="30"/>
  <c r="I25" i="30" s="1"/>
  <c r="F26" i="30"/>
  <c r="I26" i="30" s="1"/>
  <c r="F27" i="30"/>
  <c r="I27" i="30" s="1"/>
  <c r="F28" i="30"/>
  <c r="I28" i="30" s="1"/>
  <c r="F29" i="30"/>
  <c r="I29" i="30" s="1"/>
  <c r="F30" i="30"/>
  <c r="I30" i="30" s="1"/>
  <c r="F31" i="30"/>
  <c r="I31" i="30" s="1"/>
  <c r="F32" i="30"/>
  <c r="I32" i="30" s="1"/>
  <c r="F33" i="30"/>
  <c r="I33" i="30" s="1"/>
  <c r="F34" i="30"/>
  <c r="I34" i="30" s="1"/>
  <c r="F36" i="30"/>
  <c r="I36" i="30" s="1"/>
  <c r="F37" i="30"/>
  <c r="I37" i="30" s="1"/>
  <c r="F38" i="30"/>
  <c r="I38" i="30" s="1"/>
  <c r="F39" i="30"/>
  <c r="I39" i="30" s="1"/>
  <c r="F40" i="30"/>
  <c r="I40" i="30" s="1"/>
  <c r="F13" i="31"/>
  <c r="I13" i="31" s="1"/>
  <c r="F14" i="31"/>
  <c r="I14" i="31" s="1"/>
  <c r="F15" i="31"/>
  <c r="I15" i="31" s="1"/>
  <c r="F16" i="31"/>
  <c r="I16" i="31" s="1"/>
  <c r="F17" i="31"/>
  <c r="I17" i="31" s="1"/>
  <c r="F18" i="31"/>
  <c r="I18" i="31" s="1"/>
  <c r="F19" i="31"/>
  <c r="I19" i="31" s="1"/>
  <c r="F20" i="31"/>
  <c r="I20" i="31" s="1"/>
  <c r="F21" i="31"/>
  <c r="I21" i="31" s="1"/>
  <c r="F22" i="31"/>
  <c r="I22" i="31" s="1"/>
  <c r="F23" i="31"/>
  <c r="I23" i="31" s="1"/>
  <c r="F24" i="31"/>
  <c r="I24" i="31" s="1"/>
  <c r="F25" i="31"/>
  <c r="I25" i="31" s="1"/>
  <c r="F26" i="31"/>
  <c r="I26" i="31" s="1"/>
  <c r="F27" i="31"/>
  <c r="I27" i="31" s="1"/>
  <c r="F28" i="31"/>
  <c r="I28" i="31" s="1"/>
  <c r="F29" i="31"/>
  <c r="I29" i="31" s="1"/>
  <c r="F30" i="31"/>
  <c r="I30" i="31" s="1"/>
  <c r="F31" i="31"/>
  <c r="I31" i="31" s="1"/>
  <c r="F32" i="31"/>
  <c r="I32" i="31" s="1"/>
  <c r="F33" i="31"/>
  <c r="I33" i="31" s="1"/>
  <c r="F34" i="31"/>
  <c r="I34" i="31" s="1"/>
  <c r="F36" i="31"/>
  <c r="I36" i="31" s="1"/>
  <c r="F37" i="31"/>
  <c r="I37" i="31" s="1"/>
  <c r="F38" i="31"/>
  <c r="I38" i="31" s="1"/>
  <c r="F39" i="31"/>
  <c r="I39" i="31" s="1"/>
  <c r="F40" i="31"/>
  <c r="I40" i="31" s="1"/>
  <c r="F13" i="32"/>
  <c r="I13" i="32" s="1"/>
  <c r="F14" i="32"/>
  <c r="I14" i="32" s="1"/>
  <c r="F15" i="32"/>
  <c r="I15" i="32" s="1"/>
  <c r="F16" i="32"/>
  <c r="I16" i="32" s="1"/>
  <c r="F17" i="32"/>
  <c r="I17" i="32" s="1"/>
  <c r="F18" i="32"/>
  <c r="I18" i="32" s="1"/>
  <c r="F19" i="32"/>
  <c r="I19" i="32" s="1"/>
  <c r="F20" i="32"/>
  <c r="I20" i="32" s="1"/>
  <c r="F21" i="32"/>
  <c r="I21" i="32" s="1"/>
  <c r="F22" i="32"/>
  <c r="I22" i="32" s="1"/>
  <c r="F23" i="32"/>
  <c r="I23" i="32" s="1"/>
  <c r="F24" i="32"/>
  <c r="I24" i="32" s="1"/>
  <c r="F25" i="32"/>
  <c r="I25" i="32" s="1"/>
  <c r="F26" i="32"/>
  <c r="I26" i="32" s="1"/>
  <c r="F27" i="32"/>
  <c r="I27" i="32" s="1"/>
  <c r="F28" i="32"/>
  <c r="I28" i="32" s="1"/>
  <c r="F29" i="32"/>
  <c r="I29" i="32" s="1"/>
  <c r="F30" i="32"/>
  <c r="I30" i="32" s="1"/>
  <c r="F31" i="32"/>
  <c r="I31" i="32" s="1"/>
  <c r="F32" i="32"/>
  <c r="I32" i="32" s="1"/>
  <c r="F33" i="32"/>
  <c r="I33" i="32" s="1"/>
  <c r="F34" i="32"/>
  <c r="I34" i="32" s="1"/>
  <c r="F36" i="32"/>
  <c r="I36" i="32" s="1"/>
  <c r="F37" i="32"/>
  <c r="I37" i="32" s="1"/>
  <c r="F38" i="32"/>
  <c r="I38" i="32" s="1"/>
  <c r="F39" i="32"/>
  <c r="I39" i="32" s="1"/>
  <c r="F40" i="32"/>
  <c r="I40" i="32" s="1"/>
  <c r="F13" i="33"/>
  <c r="I13" i="33" s="1"/>
  <c r="F14" i="33"/>
  <c r="I14" i="33" s="1"/>
  <c r="F15" i="33"/>
  <c r="I15" i="33" s="1"/>
  <c r="F16" i="33"/>
  <c r="I16" i="33" s="1"/>
  <c r="F17" i="33"/>
  <c r="I17" i="33" s="1"/>
  <c r="F18" i="33"/>
  <c r="I18" i="33" s="1"/>
  <c r="F19" i="33"/>
  <c r="I19" i="33" s="1"/>
  <c r="F20" i="33"/>
  <c r="I20" i="33" s="1"/>
  <c r="F21" i="33"/>
  <c r="I21" i="33" s="1"/>
  <c r="F22" i="33"/>
  <c r="I22" i="33" s="1"/>
  <c r="F23" i="33"/>
  <c r="I23" i="33" s="1"/>
  <c r="F24" i="33"/>
  <c r="I24" i="33" s="1"/>
  <c r="F25" i="33"/>
  <c r="I25" i="33" s="1"/>
  <c r="F26" i="33"/>
  <c r="I26" i="33" s="1"/>
  <c r="F27" i="33"/>
  <c r="I27" i="33" s="1"/>
  <c r="F28" i="33"/>
  <c r="I28" i="33" s="1"/>
  <c r="F29" i="33"/>
  <c r="I29" i="33" s="1"/>
  <c r="F30" i="33"/>
  <c r="I30" i="33" s="1"/>
  <c r="F31" i="33"/>
  <c r="I31" i="33" s="1"/>
  <c r="F32" i="33"/>
  <c r="I32" i="33" s="1"/>
  <c r="F33" i="33"/>
  <c r="I33" i="33" s="1"/>
  <c r="F34" i="33"/>
  <c r="I34" i="33" s="1"/>
  <c r="F36" i="33"/>
  <c r="I36" i="33" s="1"/>
  <c r="F37" i="33"/>
  <c r="I37" i="33" s="1"/>
  <c r="F38" i="33"/>
  <c r="I38" i="33" s="1"/>
  <c r="F39" i="33"/>
  <c r="I39" i="33" s="1"/>
  <c r="F40" i="33"/>
  <c r="I40" i="33" s="1"/>
  <c r="F13" i="34"/>
  <c r="I13" i="34" s="1"/>
  <c r="F14" i="34"/>
  <c r="I14" i="34" s="1"/>
  <c r="F15" i="34"/>
  <c r="I15" i="34" s="1"/>
  <c r="F16" i="34"/>
  <c r="I16" i="34" s="1"/>
  <c r="F17" i="34"/>
  <c r="I17" i="34" s="1"/>
  <c r="F18" i="34"/>
  <c r="I18" i="34" s="1"/>
  <c r="F19" i="34"/>
  <c r="I19" i="34" s="1"/>
  <c r="F20" i="34"/>
  <c r="I20" i="34" s="1"/>
  <c r="F21" i="34"/>
  <c r="I21" i="34" s="1"/>
  <c r="F22" i="34"/>
  <c r="I22" i="34" s="1"/>
  <c r="F23" i="34"/>
  <c r="I23" i="34" s="1"/>
  <c r="F24" i="34"/>
  <c r="I24" i="34" s="1"/>
  <c r="F25" i="34"/>
  <c r="I25" i="34" s="1"/>
  <c r="F26" i="34"/>
  <c r="I26" i="34" s="1"/>
  <c r="F27" i="34"/>
  <c r="I27" i="34" s="1"/>
  <c r="F28" i="34"/>
  <c r="I28" i="34" s="1"/>
  <c r="F29" i="34"/>
  <c r="I29" i="34" s="1"/>
  <c r="F30" i="34"/>
  <c r="I30" i="34" s="1"/>
  <c r="F31" i="34"/>
  <c r="I31" i="34" s="1"/>
  <c r="F32" i="34"/>
  <c r="I32" i="34" s="1"/>
  <c r="F33" i="34"/>
  <c r="I33" i="34" s="1"/>
  <c r="F34" i="34"/>
  <c r="I34" i="34" s="1"/>
  <c r="F36" i="34"/>
  <c r="I36" i="34" s="1"/>
  <c r="F37" i="34"/>
  <c r="I37" i="34" s="1"/>
  <c r="F38" i="34"/>
  <c r="I38" i="34" s="1"/>
  <c r="F39" i="34"/>
  <c r="I39" i="34" s="1"/>
  <c r="F40" i="34"/>
  <c r="I40" i="34" s="1"/>
  <c r="F13" i="35"/>
  <c r="I13" i="35" s="1"/>
  <c r="F14" i="35"/>
  <c r="I14" i="35" s="1"/>
  <c r="F15" i="35"/>
  <c r="I15" i="35" s="1"/>
  <c r="F16" i="35"/>
  <c r="I16" i="35" s="1"/>
  <c r="F17" i="35"/>
  <c r="I17" i="35" s="1"/>
  <c r="F18" i="35"/>
  <c r="I18" i="35" s="1"/>
  <c r="F19" i="35"/>
  <c r="I19" i="35" s="1"/>
  <c r="F20" i="35"/>
  <c r="I20" i="35" s="1"/>
  <c r="F21" i="35"/>
  <c r="I21" i="35" s="1"/>
  <c r="F22" i="35"/>
  <c r="I22" i="35" s="1"/>
  <c r="F23" i="35"/>
  <c r="I23" i="35" s="1"/>
  <c r="F24" i="35"/>
  <c r="I24" i="35" s="1"/>
  <c r="F25" i="35"/>
  <c r="I25" i="35" s="1"/>
  <c r="F26" i="35"/>
  <c r="I26" i="35" s="1"/>
  <c r="F27" i="35"/>
  <c r="I27" i="35" s="1"/>
  <c r="F28" i="35"/>
  <c r="I28" i="35" s="1"/>
  <c r="F29" i="35"/>
  <c r="I29" i="35" s="1"/>
  <c r="F30" i="35"/>
  <c r="I30" i="35" s="1"/>
  <c r="F31" i="35"/>
  <c r="I31" i="35" s="1"/>
  <c r="F32" i="35"/>
  <c r="I32" i="35" s="1"/>
  <c r="F33" i="35"/>
  <c r="I33" i="35" s="1"/>
  <c r="F34" i="35"/>
  <c r="I34" i="35" s="1"/>
  <c r="F36" i="35"/>
  <c r="I36" i="35" s="1"/>
  <c r="F37" i="35"/>
  <c r="I37" i="35" s="1"/>
  <c r="F38" i="35"/>
  <c r="I38" i="35" s="1"/>
  <c r="F39" i="35"/>
  <c r="I39" i="35" s="1"/>
  <c r="F40" i="35"/>
  <c r="I40" i="35" s="1"/>
  <c r="F13" i="36"/>
  <c r="I13" i="36" s="1"/>
  <c r="F14" i="36"/>
  <c r="I14" i="36" s="1"/>
  <c r="F15" i="36"/>
  <c r="I15" i="36" s="1"/>
  <c r="F16" i="36"/>
  <c r="I16" i="36" s="1"/>
  <c r="F17" i="36"/>
  <c r="I17" i="36" s="1"/>
  <c r="F18" i="36"/>
  <c r="I18" i="36" s="1"/>
  <c r="F19" i="36"/>
  <c r="I19" i="36" s="1"/>
  <c r="F20" i="36"/>
  <c r="I20" i="36" s="1"/>
  <c r="F21" i="36"/>
  <c r="I21" i="36" s="1"/>
  <c r="F22" i="36"/>
  <c r="I22" i="36" s="1"/>
  <c r="F23" i="36"/>
  <c r="I23" i="36" s="1"/>
  <c r="F24" i="36"/>
  <c r="I24" i="36" s="1"/>
  <c r="F25" i="36"/>
  <c r="I25" i="36" s="1"/>
  <c r="F26" i="36"/>
  <c r="I26" i="36" s="1"/>
  <c r="F27" i="36"/>
  <c r="I27" i="36" s="1"/>
  <c r="F28" i="36"/>
  <c r="I28" i="36" s="1"/>
  <c r="F29" i="36"/>
  <c r="I29" i="36" s="1"/>
  <c r="F30" i="36"/>
  <c r="I30" i="36" s="1"/>
  <c r="F31" i="36"/>
  <c r="I31" i="36" s="1"/>
  <c r="F32" i="36"/>
  <c r="I32" i="36" s="1"/>
  <c r="F33" i="36"/>
  <c r="I33" i="36" s="1"/>
  <c r="F34" i="36"/>
  <c r="I34" i="36" s="1"/>
  <c r="F36" i="36"/>
  <c r="I36" i="36" s="1"/>
  <c r="F37" i="36"/>
  <c r="I37" i="36" s="1"/>
  <c r="F38" i="36"/>
  <c r="I38" i="36" s="1"/>
  <c r="F39" i="36"/>
  <c r="I39" i="36" s="1"/>
  <c r="F40" i="36"/>
  <c r="I40" i="36" s="1"/>
  <c r="F13" i="37"/>
  <c r="I13" i="37" s="1"/>
  <c r="F14" i="37"/>
  <c r="I14" i="37" s="1"/>
  <c r="F15" i="37"/>
  <c r="I15" i="37" s="1"/>
  <c r="F16" i="37"/>
  <c r="I16" i="37" s="1"/>
  <c r="F17" i="37"/>
  <c r="I17" i="37" s="1"/>
  <c r="F18" i="37"/>
  <c r="I18" i="37" s="1"/>
  <c r="F19" i="37"/>
  <c r="I19" i="37" s="1"/>
  <c r="F20" i="37"/>
  <c r="I20" i="37" s="1"/>
  <c r="F21" i="37"/>
  <c r="I21" i="37" s="1"/>
  <c r="F22" i="37"/>
  <c r="I22" i="37" s="1"/>
  <c r="F23" i="37"/>
  <c r="I23" i="37" s="1"/>
  <c r="F24" i="37"/>
  <c r="I24" i="37" s="1"/>
  <c r="F25" i="37"/>
  <c r="I25" i="37" s="1"/>
  <c r="F26" i="37"/>
  <c r="I26" i="37" s="1"/>
  <c r="F27" i="37"/>
  <c r="I27" i="37" s="1"/>
  <c r="F28" i="37"/>
  <c r="I28" i="37" s="1"/>
  <c r="F29" i="37"/>
  <c r="I29" i="37" s="1"/>
  <c r="F30" i="37"/>
  <c r="I30" i="37" s="1"/>
  <c r="F31" i="37"/>
  <c r="I31" i="37" s="1"/>
  <c r="F32" i="37"/>
  <c r="I32" i="37" s="1"/>
  <c r="F33" i="37"/>
  <c r="I33" i="37" s="1"/>
  <c r="F34" i="37"/>
  <c r="I34" i="37" s="1"/>
  <c r="F36" i="37"/>
  <c r="I36" i="37" s="1"/>
  <c r="F37" i="37"/>
  <c r="I37" i="37" s="1"/>
  <c r="F38" i="37"/>
  <c r="I38" i="37" s="1"/>
  <c r="F39" i="37"/>
  <c r="I39" i="37" s="1"/>
  <c r="F40" i="37"/>
  <c r="I40" i="37" s="1"/>
  <c r="F13" i="38"/>
  <c r="I13" i="38" s="1"/>
  <c r="F14" i="38"/>
  <c r="I14" i="38" s="1"/>
  <c r="F15" i="38"/>
  <c r="I15" i="38" s="1"/>
  <c r="F16" i="38"/>
  <c r="I16" i="38" s="1"/>
  <c r="F17" i="38"/>
  <c r="I17" i="38" s="1"/>
  <c r="F18" i="38"/>
  <c r="I18" i="38" s="1"/>
  <c r="F19" i="38"/>
  <c r="I19" i="38" s="1"/>
  <c r="F20" i="38"/>
  <c r="I20" i="38" s="1"/>
  <c r="F21" i="38"/>
  <c r="I21" i="38" s="1"/>
  <c r="F22" i="38"/>
  <c r="I22" i="38" s="1"/>
  <c r="F23" i="38"/>
  <c r="I23" i="38" s="1"/>
  <c r="F24" i="38"/>
  <c r="I24" i="38" s="1"/>
  <c r="F25" i="38"/>
  <c r="I25" i="38" s="1"/>
  <c r="F26" i="38"/>
  <c r="I26" i="38" s="1"/>
  <c r="F27" i="38"/>
  <c r="I27" i="38" s="1"/>
  <c r="F28" i="38"/>
  <c r="I28" i="38" s="1"/>
  <c r="F29" i="38"/>
  <c r="I29" i="38" s="1"/>
  <c r="F30" i="38"/>
  <c r="I30" i="38" s="1"/>
  <c r="F31" i="38"/>
  <c r="I31" i="38" s="1"/>
  <c r="F32" i="38"/>
  <c r="I32" i="38" s="1"/>
  <c r="F33" i="38"/>
  <c r="I33" i="38" s="1"/>
  <c r="F34" i="38"/>
  <c r="I34" i="38" s="1"/>
  <c r="F36" i="38"/>
  <c r="I36" i="38" s="1"/>
  <c r="F37" i="38"/>
  <c r="I37" i="38" s="1"/>
  <c r="F38" i="38"/>
  <c r="I38" i="38" s="1"/>
  <c r="F39" i="38"/>
  <c r="I39" i="38" s="1"/>
  <c r="F40" i="38"/>
  <c r="I40" i="38" s="1"/>
  <c r="F13" i="39"/>
  <c r="I13" i="39" s="1"/>
  <c r="F14" i="39"/>
  <c r="I14" i="39" s="1"/>
  <c r="F15" i="39"/>
  <c r="I15" i="39" s="1"/>
  <c r="F16" i="39"/>
  <c r="I16" i="39" s="1"/>
  <c r="F17" i="39"/>
  <c r="I17" i="39" s="1"/>
  <c r="F18" i="39"/>
  <c r="I18" i="39" s="1"/>
  <c r="F19" i="39"/>
  <c r="I19" i="39" s="1"/>
  <c r="F20" i="39"/>
  <c r="I20" i="39" s="1"/>
  <c r="F21" i="39"/>
  <c r="I21" i="39" s="1"/>
  <c r="F22" i="39"/>
  <c r="I22" i="39" s="1"/>
  <c r="F23" i="39"/>
  <c r="I23" i="39" s="1"/>
  <c r="F24" i="39"/>
  <c r="I24" i="39" s="1"/>
  <c r="F25" i="39"/>
  <c r="I25" i="39" s="1"/>
  <c r="F26" i="39"/>
  <c r="I26" i="39" s="1"/>
  <c r="F27" i="39"/>
  <c r="I27" i="39" s="1"/>
  <c r="F28" i="39"/>
  <c r="I28" i="39" s="1"/>
  <c r="F29" i="39"/>
  <c r="I29" i="39" s="1"/>
  <c r="F30" i="39"/>
  <c r="I30" i="39" s="1"/>
  <c r="F31" i="39"/>
  <c r="I31" i="39" s="1"/>
  <c r="F32" i="39"/>
  <c r="I32" i="39" s="1"/>
  <c r="F33" i="39"/>
  <c r="I33" i="39" s="1"/>
  <c r="F34" i="39"/>
  <c r="I34" i="39" s="1"/>
  <c r="F36" i="39"/>
  <c r="I36" i="39" s="1"/>
  <c r="F37" i="39"/>
  <c r="I37" i="39" s="1"/>
  <c r="F38" i="39"/>
  <c r="I38" i="39" s="1"/>
  <c r="F39" i="39"/>
  <c r="I39" i="39" s="1"/>
  <c r="F40" i="39"/>
  <c r="I40" i="39" s="1"/>
  <c r="F13" i="40"/>
  <c r="I13" i="40" s="1"/>
  <c r="F14" i="40"/>
  <c r="I14" i="40" s="1"/>
  <c r="F15" i="40"/>
  <c r="I15" i="40" s="1"/>
  <c r="F16" i="40"/>
  <c r="I16" i="40" s="1"/>
  <c r="F17" i="40"/>
  <c r="I17" i="40" s="1"/>
  <c r="F18" i="40"/>
  <c r="I18" i="40" s="1"/>
  <c r="F19" i="40"/>
  <c r="I19" i="40" s="1"/>
  <c r="F20" i="40"/>
  <c r="I20" i="40" s="1"/>
  <c r="F21" i="40"/>
  <c r="I21" i="40" s="1"/>
  <c r="F22" i="40"/>
  <c r="I22" i="40" s="1"/>
  <c r="F23" i="40"/>
  <c r="I23" i="40" s="1"/>
  <c r="F24" i="40"/>
  <c r="I24" i="40" s="1"/>
  <c r="F25" i="40"/>
  <c r="I25" i="40" s="1"/>
  <c r="F26" i="40"/>
  <c r="I26" i="40" s="1"/>
  <c r="F27" i="40"/>
  <c r="I27" i="40" s="1"/>
  <c r="F28" i="40"/>
  <c r="I28" i="40" s="1"/>
  <c r="F29" i="40"/>
  <c r="I29" i="40" s="1"/>
  <c r="F30" i="40"/>
  <c r="I30" i="40" s="1"/>
  <c r="F31" i="40"/>
  <c r="I31" i="40" s="1"/>
  <c r="F32" i="40"/>
  <c r="I32" i="40" s="1"/>
  <c r="F33" i="40"/>
  <c r="I33" i="40" s="1"/>
  <c r="F34" i="40"/>
  <c r="I34" i="40" s="1"/>
  <c r="F36" i="40"/>
  <c r="I36" i="40" s="1"/>
  <c r="F37" i="40"/>
  <c r="I37" i="40" s="1"/>
  <c r="F38" i="40"/>
  <c r="I38" i="40" s="1"/>
  <c r="F39" i="40"/>
  <c r="I39" i="40" s="1"/>
  <c r="F40" i="40"/>
  <c r="I40" i="40" s="1"/>
  <c r="F13" i="41"/>
  <c r="I13" i="41" s="1"/>
  <c r="F14" i="41"/>
  <c r="I14" i="41" s="1"/>
  <c r="F15" i="41"/>
  <c r="I15" i="41" s="1"/>
  <c r="F16" i="41"/>
  <c r="I16" i="41" s="1"/>
  <c r="F17" i="41"/>
  <c r="I17" i="41" s="1"/>
  <c r="F18" i="41"/>
  <c r="I18" i="41" s="1"/>
  <c r="F19" i="41"/>
  <c r="I19" i="41" s="1"/>
  <c r="F20" i="41"/>
  <c r="I20" i="41" s="1"/>
  <c r="F21" i="41"/>
  <c r="I21" i="41" s="1"/>
  <c r="F22" i="41"/>
  <c r="I22" i="41" s="1"/>
  <c r="F23" i="41"/>
  <c r="I23" i="41" s="1"/>
  <c r="F24" i="41"/>
  <c r="I24" i="41" s="1"/>
  <c r="F25" i="41"/>
  <c r="I25" i="41" s="1"/>
  <c r="F26" i="41"/>
  <c r="I26" i="41" s="1"/>
  <c r="F27" i="41"/>
  <c r="I27" i="41" s="1"/>
  <c r="F28" i="41"/>
  <c r="I28" i="41" s="1"/>
  <c r="F29" i="41"/>
  <c r="I29" i="41" s="1"/>
  <c r="F30" i="41"/>
  <c r="I30" i="41" s="1"/>
  <c r="F31" i="41"/>
  <c r="I31" i="41" s="1"/>
  <c r="F32" i="41"/>
  <c r="I32" i="41" s="1"/>
  <c r="F33" i="41"/>
  <c r="I33" i="41" s="1"/>
  <c r="F34" i="41"/>
  <c r="I34" i="41" s="1"/>
  <c r="F36" i="41"/>
  <c r="I36" i="41" s="1"/>
  <c r="F37" i="41"/>
  <c r="I37" i="41" s="1"/>
  <c r="F38" i="41"/>
  <c r="I38" i="41" s="1"/>
  <c r="F39" i="41"/>
  <c r="I39" i="41" s="1"/>
  <c r="F40" i="41"/>
  <c r="I40" i="41" s="1"/>
  <c r="F13" i="42"/>
  <c r="I13" i="42" s="1"/>
  <c r="F14" i="42"/>
  <c r="I14" i="42" s="1"/>
  <c r="F15" i="42"/>
  <c r="I15" i="42" s="1"/>
  <c r="F16" i="42"/>
  <c r="I16" i="42" s="1"/>
  <c r="F17" i="42"/>
  <c r="I17" i="42" s="1"/>
  <c r="F18" i="42"/>
  <c r="I18" i="42" s="1"/>
  <c r="F19" i="42"/>
  <c r="I19" i="42" s="1"/>
  <c r="F20" i="42"/>
  <c r="I20" i="42" s="1"/>
  <c r="F21" i="42"/>
  <c r="I21" i="42" s="1"/>
  <c r="F22" i="42"/>
  <c r="I22" i="42" s="1"/>
  <c r="F23" i="42"/>
  <c r="I23" i="42" s="1"/>
  <c r="F24" i="42"/>
  <c r="I24" i="42" s="1"/>
  <c r="F25" i="42"/>
  <c r="I25" i="42" s="1"/>
  <c r="F26" i="42"/>
  <c r="I26" i="42" s="1"/>
  <c r="F27" i="42"/>
  <c r="I27" i="42" s="1"/>
  <c r="F28" i="42"/>
  <c r="I28" i="42" s="1"/>
  <c r="F29" i="42"/>
  <c r="I29" i="42" s="1"/>
  <c r="F30" i="42"/>
  <c r="I30" i="42" s="1"/>
  <c r="F31" i="42"/>
  <c r="I31" i="42" s="1"/>
  <c r="F32" i="42"/>
  <c r="I32" i="42" s="1"/>
  <c r="F33" i="42"/>
  <c r="I33" i="42" s="1"/>
  <c r="F34" i="42"/>
  <c r="I34" i="42" s="1"/>
  <c r="F36" i="42"/>
  <c r="I36" i="42" s="1"/>
  <c r="F37" i="42"/>
  <c r="I37" i="42" s="1"/>
  <c r="F38" i="42"/>
  <c r="I38" i="42" s="1"/>
  <c r="F39" i="42"/>
  <c r="I39" i="42" s="1"/>
  <c r="F40" i="42"/>
  <c r="I40" i="42" s="1"/>
  <c r="F13" i="43"/>
  <c r="I13" i="43" s="1"/>
  <c r="F14" i="43"/>
  <c r="I14" i="43" s="1"/>
  <c r="F15" i="43"/>
  <c r="I15" i="43" s="1"/>
  <c r="F16" i="43"/>
  <c r="I16" i="43" s="1"/>
  <c r="F17" i="43"/>
  <c r="I17" i="43" s="1"/>
  <c r="F18" i="43"/>
  <c r="I18" i="43" s="1"/>
  <c r="F19" i="43"/>
  <c r="I19" i="43" s="1"/>
  <c r="F20" i="43"/>
  <c r="I20" i="43" s="1"/>
  <c r="F21" i="43"/>
  <c r="I21" i="43" s="1"/>
  <c r="F22" i="43"/>
  <c r="I22" i="43" s="1"/>
  <c r="F23" i="43"/>
  <c r="I23" i="43" s="1"/>
  <c r="F24" i="43"/>
  <c r="I24" i="43" s="1"/>
  <c r="F25" i="43"/>
  <c r="I25" i="43" s="1"/>
  <c r="F26" i="43"/>
  <c r="I26" i="43" s="1"/>
  <c r="F27" i="43"/>
  <c r="I27" i="43" s="1"/>
  <c r="F28" i="43"/>
  <c r="I28" i="43" s="1"/>
  <c r="F29" i="43"/>
  <c r="I29" i="43" s="1"/>
  <c r="F30" i="43"/>
  <c r="I30" i="43" s="1"/>
  <c r="F31" i="43"/>
  <c r="I31" i="43" s="1"/>
  <c r="F32" i="43"/>
  <c r="I32" i="43" s="1"/>
  <c r="F33" i="43"/>
  <c r="I33" i="43" s="1"/>
  <c r="F34" i="43"/>
  <c r="I34" i="43" s="1"/>
  <c r="F36" i="43"/>
  <c r="I36" i="43" s="1"/>
  <c r="F37" i="43"/>
  <c r="I37" i="43" s="1"/>
  <c r="F38" i="43"/>
  <c r="I38" i="43" s="1"/>
  <c r="F39" i="43"/>
  <c r="I39" i="43" s="1"/>
  <c r="F40" i="43"/>
  <c r="I40" i="43" s="1"/>
  <c r="F27" i="1"/>
  <c r="I27" i="1" s="1"/>
  <c r="F36" i="1"/>
  <c r="I36" i="1" s="1"/>
  <c r="F12" i="43" l="1"/>
  <c r="F74" i="43" s="1"/>
  <c r="B9" i="43"/>
  <c r="F12" i="42"/>
  <c r="F74" i="42" s="1"/>
  <c r="F12" i="41"/>
  <c r="F74" i="41" s="1"/>
  <c r="B9" i="41"/>
  <c r="F12" i="40"/>
  <c r="F74" i="40" s="1"/>
  <c r="B9" i="40"/>
  <c r="F12" i="39"/>
  <c r="F74" i="39" s="1"/>
  <c r="B9" i="39"/>
  <c r="F12" i="38"/>
  <c r="F74" i="38" s="1"/>
  <c r="B9" i="38"/>
  <c r="F12" i="37"/>
  <c r="F74" i="37" s="1"/>
  <c r="B9" i="37"/>
  <c r="F12" i="36"/>
  <c r="F74" i="36" s="1"/>
  <c r="B9" i="36"/>
  <c r="F12" i="35"/>
  <c r="F74" i="35" s="1"/>
  <c r="B9" i="35"/>
  <c r="F12" i="34"/>
  <c r="F74" i="34" s="1"/>
  <c r="B9" i="34"/>
  <c r="F12" i="33"/>
  <c r="F74" i="33" s="1"/>
  <c r="B9" i="33"/>
  <c r="F12" i="32"/>
  <c r="F74" i="32" s="1"/>
  <c r="B9" i="32"/>
  <c r="F12" i="31"/>
  <c r="F74" i="31" s="1"/>
  <c r="F12" i="30"/>
  <c r="F74" i="30" s="1"/>
  <c r="B9" i="30"/>
  <c r="F12" i="29"/>
  <c r="F74" i="29" s="1"/>
  <c r="B9" i="29"/>
  <c r="F12" i="28"/>
  <c r="F74" i="28" s="1"/>
  <c r="B9" i="28"/>
  <c r="F12" i="27"/>
  <c r="F74" i="27" s="1"/>
  <c r="B9" i="27"/>
  <c r="F12" i="26"/>
  <c r="F74" i="26" s="1"/>
  <c r="B9" i="26"/>
  <c r="F12" i="25"/>
  <c r="F74" i="25" s="1"/>
  <c r="B9" i="25"/>
  <c r="F12" i="24"/>
  <c r="F74" i="24" s="1"/>
  <c r="B9" i="24"/>
  <c r="F12" i="23"/>
  <c r="F74" i="23" s="1"/>
  <c r="B9" i="23"/>
  <c r="F12" i="22"/>
  <c r="F74" i="22" s="1"/>
  <c r="B9" i="22"/>
  <c r="I12" i="31" l="1"/>
  <c r="I74" i="31" s="1"/>
  <c r="F75" i="31" s="1"/>
  <c r="I12" i="23"/>
  <c r="I74" i="23" s="1"/>
  <c r="F75" i="23" s="1"/>
  <c r="I12" i="32"/>
  <c r="I74" i="32" s="1"/>
  <c r="F75" i="32" s="1"/>
  <c r="I12" i="36"/>
  <c r="I74" i="36" s="1"/>
  <c r="F75" i="36" s="1"/>
  <c r="F76" i="36" s="1"/>
  <c r="I12" i="40"/>
  <c r="I74" i="40" s="1"/>
  <c r="F75" i="40" s="1"/>
  <c r="I12" i="35"/>
  <c r="I74" i="35" s="1"/>
  <c r="F75" i="35" s="1"/>
  <c r="I12" i="24"/>
  <c r="I74" i="24" s="1"/>
  <c r="F75" i="24" s="1"/>
  <c r="F76" i="24" s="1"/>
  <c r="I12" i="33"/>
  <c r="I74" i="33" s="1"/>
  <c r="F75" i="33" s="1"/>
  <c r="F76" i="33" s="1"/>
  <c r="I12" i="37"/>
  <c r="I74" i="37" s="1"/>
  <c r="F75" i="37" s="1"/>
  <c r="I12" i="41"/>
  <c r="I74" i="41" s="1"/>
  <c r="F75" i="41" s="1"/>
  <c r="I12" i="27"/>
  <c r="I74" i="27" s="1"/>
  <c r="F75" i="27" s="1"/>
  <c r="F76" i="27" s="1"/>
  <c r="I12" i="28"/>
  <c r="I74" i="28" s="1"/>
  <c r="F75" i="28" s="1"/>
  <c r="F76" i="28" s="1"/>
  <c r="I12" i="25"/>
  <c r="I74" i="25" s="1"/>
  <c r="F75" i="25" s="1"/>
  <c r="I12" i="29"/>
  <c r="I74" i="29" s="1"/>
  <c r="F75" i="29" s="1"/>
  <c r="I12" i="42"/>
  <c r="I74" i="42" s="1"/>
  <c r="F75" i="42" s="1"/>
  <c r="F76" i="42" s="1"/>
  <c r="I12" i="39"/>
  <c r="I74" i="39" s="1"/>
  <c r="F75" i="39" s="1"/>
  <c r="F76" i="39" s="1"/>
  <c r="I12" i="34"/>
  <c r="I74" i="34" s="1"/>
  <c r="F75" i="34" s="1"/>
  <c r="I12" i="38"/>
  <c r="I74" i="38" s="1"/>
  <c r="F75" i="38" s="1"/>
  <c r="I12" i="22"/>
  <c r="I74" i="22" s="1"/>
  <c r="F75" i="22" s="1"/>
  <c r="F76" i="22" s="1"/>
  <c r="I12" i="26"/>
  <c r="I74" i="26" s="1"/>
  <c r="F75" i="26" s="1"/>
  <c r="F76" i="26" s="1"/>
  <c r="I12" i="30"/>
  <c r="I74" i="30" s="1"/>
  <c r="F75" i="30" s="1"/>
  <c r="I12" i="43"/>
  <c r="I74" i="43" s="1"/>
  <c r="F75" i="43" s="1"/>
  <c r="E15" i="1"/>
  <c r="F15" i="1" s="1"/>
  <c r="I15" i="1" s="1"/>
  <c r="E16" i="1"/>
  <c r="F16" i="1" s="1"/>
  <c r="I16" i="1" s="1"/>
  <c r="E17" i="1"/>
  <c r="F17" i="1" s="1"/>
  <c r="I17" i="1" s="1"/>
  <c r="F18" i="1"/>
  <c r="I18" i="1" s="1"/>
  <c r="F19" i="1"/>
  <c r="I19" i="1" s="1"/>
  <c r="F20" i="1"/>
  <c r="I20" i="1" s="1"/>
  <c r="F21" i="1"/>
  <c r="I21" i="1" s="1"/>
  <c r="F22" i="1"/>
  <c r="I22" i="1" s="1"/>
  <c r="F23" i="1"/>
  <c r="I23" i="1" s="1"/>
  <c r="F24" i="1"/>
  <c r="I24" i="1" s="1"/>
  <c r="E14" i="1"/>
  <c r="F76" i="32" l="1"/>
  <c r="F76" i="43"/>
  <c r="F76" i="38"/>
  <c r="F76" i="29"/>
  <c r="F76" i="41"/>
  <c r="F76" i="35"/>
  <c r="F76" i="23"/>
  <c r="F76" i="30"/>
  <c r="F76" i="34"/>
  <c r="F76" i="25"/>
  <c r="F76" i="37"/>
  <c r="F76" i="40"/>
  <c r="F76" i="31"/>
  <c r="D74" i="1"/>
  <c r="F14" i="1"/>
  <c r="I14" i="1" s="1"/>
  <c r="E13" i="1" l="1"/>
  <c r="F13" i="1" s="1"/>
  <c r="I13" i="1" s="1"/>
  <c r="B9" i="5" l="1"/>
  <c r="E12" i="1" l="1"/>
  <c r="B9" i="3" l="1"/>
  <c r="B9" i="4"/>
  <c r="B9" i="6"/>
  <c r="B9" i="7"/>
  <c r="B9" i="8"/>
  <c r="B9" i="9"/>
  <c r="B9" i="10"/>
  <c r="B9" i="11"/>
  <c r="B9" i="12"/>
  <c r="B9" i="13"/>
  <c r="B9" i="14"/>
  <c r="B9" i="15"/>
  <c r="B9" i="16"/>
  <c r="B9" i="17"/>
  <c r="B9" i="18"/>
  <c r="B9" i="19"/>
  <c r="B9" i="20"/>
  <c r="F12" i="1"/>
  <c r="F74" i="1" s="1"/>
  <c r="F12" i="21"/>
  <c r="F74" i="21" s="1"/>
  <c r="F12" i="20"/>
  <c r="F74" i="20" s="1"/>
  <c r="F12" i="19"/>
  <c r="F74" i="19" s="1"/>
  <c r="F12" i="18"/>
  <c r="F74" i="18" s="1"/>
  <c r="F12" i="17"/>
  <c r="F74" i="17" s="1"/>
  <c r="F12" i="16"/>
  <c r="F74" i="16" s="1"/>
  <c r="F12" i="15"/>
  <c r="F74" i="15" s="1"/>
  <c r="F12" i="14"/>
  <c r="F74" i="14" s="1"/>
  <c r="F12" i="13"/>
  <c r="F74" i="13" s="1"/>
  <c r="F12" i="12"/>
  <c r="F74" i="12" s="1"/>
  <c r="F12" i="11"/>
  <c r="F74" i="11" s="1"/>
  <c r="F12" i="10"/>
  <c r="F74" i="10" s="1"/>
  <c r="F12" i="9"/>
  <c r="F74" i="9" s="1"/>
  <c r="F12" i="8"/>
  <c r="F74" i="8" s="1"/>
  <c r="F12" i="7"/>
  <c r="F74" i="7" s="1"/>
  <c r="F12" i="6"/>
  <c r="F74" i="6" s="1"/>
  <c r="F12" i="5"/>
  <c r="F74" i="5" s="1"/>
  <c r="F12" i="4"/>
  <c r="F74" i="4" s="1"/>
  <c r="F12" i="3"/>
  <c r="F74" i="3" s="1"/>
  <c r="I12" i="9" l="1"/>
  <c r="I74" i="9" s="1"/>
  <c r="F75" i="9" s="1"/>
  <c r="I12" i="16"/>
  <c r="I74" i="16" s="1"/>
  <c r="F75" i="16" s="1"/>
  <c r="F76" i="16" s="1"/>
  <c r="I12" i="3"/>
  <c r="I74" i="3" s="1"/>
  <c r="F75" i="3" s="1"/>
  <c r="I12" i="19"/>
  <c r="I74" i="19" s="1"/>
  <c r="F75" i="19" s="1"/>
  <c r="I12" i="17"/>
  <c r="I74" i="17" s="1"/>
  <c r="F75" i="17" s="1"/>
  <c r="I12" i="4"/>
  <c r="I74" i="4" s="1"/>
  <c r="F75" i="4" s="1"/>
  <c r="F76" i="4" s="1"/>
  <c r="I12" i="13"/>
  <c r="I74" i="13" s="1"/>
  <c r="F75" i="13" s="1"/>
  <c r="F76" i="13" s="1"/>
  <c r="I12" i="8"/>
  <c r="I74" i="8" s="1"/>
  <c r="F75" i="8" s="1"/>
  <c r="I12" i="18"/>
  <c r="I74" i="18" s="1"/>
  <c r="F75" i="18" s="1"/>
  <c r="I12" i="20"/>
  <c r="I74" i="20" s="1"/>
  <c r="F75" i="20" s="1"/>
  <c r="F76" i="20" s="1"/>
  <c r="I12" i="5"/>
  <c r="I74" i="5" s="1"/>
  <c r="F75" i="5" s="1"/>
  <c r="F76" i="5" s="1"/>
  <c r="I12" i="14"/>
  <c r="I74" i="14" s="1"/>
  <c r="F75" i="14" s="1"/>
  <c r="I12" i="10"/>
  <c r="I74" i="10" s="1"/>
  <c r="F75" i="10" s="1"/>
  <c r="I12" i="12"/>
  <c r="I74" i="12" s="1"/>
  <c r="F75" i="12" s="1"/>
  <c r="F76" i="12" s="1"/>
  <c r="I12" i="21"/>
  <c r="I74" i="21" s="1"/>
  <c r="F75" i="21" s="1"/>
  <c r="I12" i="6"/>
  <c r="I74" i="6" s="1"/>
  <c r="F75" i="6" s="1"/>
  <c r="I12" i="7"/>
  <c r="I74" i="7" s="1"/>
  <c r="F75" i="7" s="1"/>
  <c r="I12" i="15"/>
  <c r="I74" i="15" s="1"/>
  <c r="F75" i="15" s="1"/>
  <c r="F76" i="15" s="1"/>
  <c r="I12" i="11"/>
  <c r="I74" i="11" s="1"/>
  <c r="F75" i="11" s="1"/>
  <c r="F76" i="11" s="1"/>
  <c r="I12" i="1"/>
  <c r="I74" i="1" s="1"/>
  <c r="F75" i="1" s="1"/>
  <c r="F76" i="1" s="1"/>
  <c r="F76" i="6" l="1"/>
  <c r="F76" i="14"/>
  <c r="F76" i="8"/>
  <c r="F76" i="19"/>
  <c r="F76" i="21"/>
  <c r="F76" i="3"/>
  <c r="F76" i="7"/>
  <c r="F76" i="10"/>
  <c r="F76" i="18"/>
  <c r="F76" i="17"/>
  <c r="F76" i="9"/>
</calcChain>
</file>

<file path=xl/sharedStrings.xml><?xml version="1.0" encoding="utf-8"?>
<sst xmlns="http://schemas.openxmlformats.org/spreadsheetml/2006/main" count="3573" uniqueCount="91">
  <si>
    <t>Code IDH</t>
  </si>
  <si>
    <t>PRODUITS</t>
  </si>
  <si>
    <t>P.U.</t>
  </si>
  <si>
    <t>Montant TTC</t>
  </si>
  <si>
    <t>Bref Triggers Cuisine 500ml</t>
  </si>
  <si>
    <t>Le Chat Premium RL 2.5L</t>
  </si>
  <si>
    <t>ISIS HS POWDER SDM 300GR LIMITLESS</t>
  </si>
  <si>
    <t>ISIS HS 300g LEMON LIMITLESS</t>
  </si>
  <si>
    <t>ISIS HS 750g LEMON LIMITLESS</t>
  </si>
  <si>
    <t>ISIS HS 1,5Kg LEMON LIMITLESS</t>
  </si>
  <si>
    <t>Nettoyant Moussant Javelisé 900ml</t>
  </si>
  <si>
    <t>TOTAL CARTONS</t>
  </si>
  <si>
    <t>SARL ANDROMEDE DISTRIBUTION</t>
  </si>
  <si>
    <t>BON DE CHARGEMENT</t>
  </si>
  <si>
    <t>Qté/Crt</t>
  </si>
  <si>
    <t>Qté. Vendu</t>
  </si>
  <si>
    <t>VENDEUR :</t>
  </si>
  <si>
    <t>LIVREUR :</t>
  </si>
  <si>
    <t>DATE :</t>
  </si>
  <si>
    <t xml:space="preserve"> R-C : 16/00-1010272 B15                         I-F : 001516101027219                        ART : 16360128161                              N° TEL : 0555048930</t>
  </si>
  <si>
    <t>CITE CHAABIA LOT 16 SECTION 02 BIR TOUTA, ALGER.</t>
  </si>
  <si>
    <t>BON DE LIVRAISON</t>
  </si>
  <si>
    <t>CLIENT :</t>
  </si>
  <si>
    <t>ADRESSE :</t>
  </si>
  <si>
    <t>MM16F01 - SELMANE SEDDIK</t>
  </si>
  <si>
    <t>BACHDJERAH HUSSEIN DEY EL MAGHARIA BOUROUBA</t>
  </si>
  <si>
    <t>ZOUBIRI AMINE</t>
  </si>
  <si>
    <t>08 07 2023</t>
  </si>
  <si>
    <t>Pril ISIS Antibactérien 650ML  Lemon</t>
  </si>
  <si>
    <t>Le Chat Rose 2,5L ADV23</t>
  </si>
  <si>
    <t>Le Chat Regular 2,5L ADV23</t>
  </si>
  <si>
    <t>Le Chat SDM 2,5L ADV23</t>
  </si>
  <si>
    <t>Le Chat Regular 1L ADV23</t>
  </si>
  <si>
    <t>Le Chat Rose 1L ADV23</t>
  </si>
  <si>
    <t>Le Chat 2,5kg bag ADV23</t>
  </si>
  <si>
    <t>Le Chat HS Gel 1L ADV23</t>
  </si>
  <si>
    <t>Le Chat HS 300gr ADV23</t>
  </si>
  <si>
    <t>Le Chat HS 750gr ADV23</t>
  </si>
  <si>
    <t>Pril Isis ultra power 1.25L</t>
  </si>
  <si>
    <t>Pril Isis ultra power 650ml</t>
  </si>
  <si>
    <t>ISIS Gold 5en1 300g</t>
  </si>
  <si>
    <t>ISIS LS bag 2.5kg Lemon</t>
  </si>
  <si>
    <t>ISIS gel machine universel 2.5L</t>
  </si>
  <si>
    <t>ISIS gel machine universal 900ml</t>
  </si>
  <si>
    <t>Pril ISIS antibactérien 1.25L</t>
  </si>
  <si>
    <t>Le Chat Premium 1L LS GEL</t>
  </si>
  <si>
    <t>Bref javel regular pure power 1,75L</t>
  </si>
  <si>
    <t>3011702</t>
  </si>
  <si>
    <t>Bref javel pure power 900mL-DZ</t>
  </si>
  <si>
    <t>ISIS GOLD 5 en 1 HS 750g</t>
  </si>
  <si>
    <t>Le Chat HS 1,5 KG ADV23</t>
  </si>
  <si>
    <t>2975112</t>
  </si>
  <si>
    <t>Pril Isis ultra power 3 L</t>
  </si>
  <si>
    <t>Pril isis antibac 1250ml promo</t>
  </si>
  <si>
    <t>Pril isis ultra power 1250ml promo</t>
  </si>
  <si>
    <t>Pril isis ultrapower 650ml promo</t>
  </si>
  <si>
    <t>Pril isis antibac 650ml promo</t>
  </si>
  <si>
    <t>ISIS Machine 2.5 kg Bag Promo Price OFF</t>
  </si>
  <si>
    <t>Pril ISIS Cold Power 3L Promo</t>
  </si>
  <si>
    <t xml:space="preserve"> Le Chat LS BAG 2.5kg PROMO</t>
  </si>
  <si>
    <t>TTC</t>
  </si>
  <si>
    <t>Le chat HDLD 4L ADV 23 non promo</t>
  </si>
  <si>
    <t>Isis Bouquet 950ml Blan jasmin</t>
  </si>
  <si>
    <t>isis Bouquet 950ml Rose</t>
  </si>
  <si>
    <t>isis Bouquet 950ml Lavande</t>
  </si>
  <si>
    <t>Le Chat HS Rose  750gr ADV23</t>
  </si>
  <si>
    <t>Le Chat HS Rose 300gr ADV23</t>
  </si>
  <si>
    <t>Promo Le Chat Liquide Machine 2.5L SDM</t>
  </si>
  <si>
    <t>Promo Le Chat Liquide Machine 2.5L Rose</t>
  </si>
  <si>
    <t>Le Chat Liquide Machine 2.5L (PROMO)</t>
  </si>
  <si>
    <t>Bref Moussant 1,75L</t>
  </si>
  <si>
    <t>Gliss Aqua Revive 250ml</t>
  </si>
  <si>
    <t>Gliss Oil Nutritive 250ml</t>
  </si>
  <si>
    <t>Gliss Supreme Length 250ml</t>
  </si>
  <si>
    <t>Gliss Ultimate Repair 250ml</t>
  </si>
  <si>
    <t>Gliss Aqua Revive 200ml</t>
  </si>
  <si>
    <t>Gliss Oil Nutritive 200ml</t>
  </si>
  <si>
    <t>Gliss Supreme Length 200ml</t>
  </si>
  <si>
    <t>Gliss Ultimate Repair 200ml</t>
  </si>
  <si>
    <t>ISIS GOLD Machine Liquide  2.5L Lavander</t>
  </si>
  <si>
    <t>Le Chat Liquide Machine 2.5L  -  Including TPR</t>
  </si>
  <si>
    <t>Le Chat Liquide Machine 2.5L SDM  -  Including TPR</t>
  </si>
  <si>
    <t>Le Chat Liquide Machine 2.5L Rose -  Including TPR</t>
  </si>
  <si>
    <t>REMISE SALES BUZZ</t>
  </si>
  <si>
    <t xml:space="preserve">REMISE </t>
  </si>
  <si>
    <t xml:space="preserve">% REMISE </t>
  </si>
  <si>
    <t>REMISE</t>
  </si>
  <si>
    <t>NET</t>
  </si>
  <si>
    <t>Pril isis  650ml limited edition</t>
  </si>
  <si>
    <t>Pril isis  1,25L l limited edition</t>
  </si>
  <si>
    <t>BREF Trigger multi-surface 490ml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</si>
</sst>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#,##0.00\ _€"/>
    <numFmt numFmtId="166" formatCode="[$-40C]d\-mmm\-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8"/>
      <color indexed="8"/>
      <name val="Bookman Old Style"/>
      <family val="1"/>
      <charset val="1"/>
    </font>
    <font>
      <b/>
      <i/>
      <sz val="18"/>
      <name val="Bookman Old Style"/>
      <family val="1"/>
    </font>
    <font>
      <b/>
      <sz val="18"/>
      <name val="Calibri"/>
      <family val="2"/>
      <scheme val="minor"/>
    </font>
    <font>
      <b/>
      <sz val="18"/>
      <name val="Times New Roman"/>
      <family val="1"/>
      <charset val="1"/>
    </font>
    <font>
      <sz val="18"/>
      <color theme="1"/>
      <name val="Calibri"/>
      <family val="2"/>
      <scheme val="minor"/>
    </font>
    <font>
      <b/>
      <i/>
      <sz val="18"/>
      <color indexed="8"/>
      <name val="Arial"/>
      <family val="2"/>
    </font>
    <font>
      <b/>
      <sz val="36"/>
      <color theme="1"/>
      <name val="Calibri"/>
      <family val="2"/>
      <scheme val="minor"/>
    </font>
    <font>
      <b/>
      <u/>
      <sz val="3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indexed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6"/>
      <color indexed="8"/>
      <name val="Times New Roman"/>
      <family val="1"/>
    </font>
    <font>
      <b/>
      <sz val="16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7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4" fillId="2" borderId="1" xfId="0" applyFont="1" applyFill="1" applyBorder="1" applyAlignment="1"/>
    <xf numFmtId="0" fontId="5" fillId="0" borderId="2" xfId="0" applyFont="1" applyBorder="1" applyAlignment="1">
      <alignment horizontal="center" vertical="center"/>
    </xf>
    <xf numFmtId="0" fontId="6" fillId="3" borderId="2" xfId="0" applyNumberFormat="1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165" fontId="6" fillId="0" borderId="2" xfId="0" applyNumberFormat="1" applyFont="1" applyBorder="1" applyAlignment="1">
      <alignment horizontal="right" vertical="center"/>
    </xf>
    <xf numFmtId="0" fontId="8" fillId="0" borderId="0" xfId="0" applyFont="1"/>
    <xf numFmtId="1" fontId="5" fillId="4" borderId="4" xfId="0" applyNumberFormat="1" applyFont="1" applyFill="1" applyBorder="1" applyAlignment="1">
      <alignment horizontal="center" vertical="center"/>
    </xf>
    <xf numFmtId="164" fontId="6" fillId="5" borderId="4" xfId="1" applyFont="1" applyFill="1" applyBorder="1" applyAlignment="1">
      <alignment horizontal="center" vertical="center"/>
    </xf>
    <xf numFmtId="0" fontId="14" fillId="0" borderId="0" xfId="0" applyFont="1"/>
    <xf numFmtId="0" fontId="4" fillId="2" borderId="4" xfId="0" applyFont="1" applyFill="1" applyBorder="1" applyAlignment="1"/>
    <xf numFmtId="0" fontId="7" fillId="2" borderId="2" xfId="0" applyFont="1" applyFill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164" fontId="6" fillId="4" borderId="2" xfId="1" applyFont="1" applyFill="1" applyBorder="1" applyAlignment="1">
      <alignment horizontal="right" vertical="center"/>
    </xf>
    <xf numFmtId="164" fontId="5" fillId="5" borderId="4" xfId="1" applyFont="1" applyFill="1" applyBorder="1" applyAlignment="1">
      <alignment horizontal="right" vertical="center"/>
    </xf>
    <xf numFmtId="0" fontId="14" fillId="5" borderId="0" xfId="0" applyFont="1" applyFill="1"/>
    <xf numFmtId="166" fontId="14" fillId="0" borderId="0" xfId="0" applyNumberFormat="1" applyFont="1" applyAlignment="1">
      <alignment horizontal="left"/>
    </xf>
    <xf numFmtId="0" fontId="7" fillId="0" borderId="18" xfId="0" applyFont="1" applyBorder="1" applyAlignment="1">
      <alignment horizontal="left" vertical="center"/>
    </xf>
    <xf numFmtId="2" fontId="3" fillId="0" borderId="19" xfId="0" applyNumberFormat="1" applyFont="1" applyBorder="1" applyAlignment="1">
      <alignment horizontal="center" vertical="center"/>
    </xf>
    <xf numFmtId="165" fontId="6" fillId="0" borderId="19" xfId="0" applyNumberFormat="1" applyFont="1" applyBorder="1" applyAlignment="1">
      <alignment horizontal="right" vertical="center"/>
    </xf>
    <xf numFmtId="0" fontId="7" fillId="2" borderId="19" xfId="0" applyFont="1" applyFill="1" applyBorder="1" applyAlignment="1">
      <alignment horizontal="center" vertical="center"/>
    </xf>
    <xf numFmtId="0" fontId="6" fillId="3" borderId="19" xfId="0" applyNumberFormat="1" applyFont="1" applyFill="1" applyBorder="1" applyAlignment="1">
      <alignment horizontal="left" vertical="center"/>
    </xf>
    <xf numFmtId="0" fontId="2" fillId="0" borderId="0" xfId="0" applyFont="1" applyFill="1"/>
    <xf numFmtId="0" fontId="14" fillId="0" borderId="0" xfId="0" applyFont="1" applyFill="1"/>
    <xf numFmtId="164" fontId="16" fillId="0" borderId="0" xfId="1" applyFont="1"/>
    <xf numFmtId="0" fontId="6" fillId="3" borderId="0" xfId="0" applyNumberFormat="1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49" fontId="19" fillId="4" borderId="19" xfId="0" applyNumberFormat="1" applyFont="1" applyFill="1" applyBorder="1" applyAlignment="1">
      <alignment vertical="center"/>
    </xf>
    <xf numFmtId="0" fontId="18" fillId="4" borderId="19" xfId="2" applyFont="1" applyFill="1" applyBorder="1" applyAlignment="1">
      <alignment horizontal="left" vertical="center"/>
    </xf>
    <xf numFmtId="9" fontId="5" fillId="0" borderId="19" xfId="3" applyFont="1" applyBorder="1" applyAlignment="1">
      <alignment horizontal="center" vertical="center"/>
    </xf>
    <xf numFmtId="0" fontId="11" fillId="4" borderId="12" xfId="0" applyFont="1" applyFill="1" applyBorder="1" applyAlignment="1">
      <alignment horizontal="center"/>
    </xf>
    <xf numFmtId="0" fontId="11" fillId="4" borderId="13" xfId="0" applyFont="1" applyFill="1" applyBorder="1" applyAlignment="1">
      <alignment horizontal="center"/>
    </xf>
    <xf numFmtId="0" fontId="11" fillId="4" borderId="14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11" fillId="5" borderId="8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4" fillId="4" borderId="10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left" vertical="center"/>
    </xf>
    <xf numFmtId="0" fontId="10" fillId="4" borderId="16" xfId="0" applyFont="1" applyFill="1" applyBorder="1" applyAlignment="1">
      <alignment horizontal="left" vertical="center"/>
    </xf>
    <xf numFmtId="0" fontId="10" fillId="4" borderId="17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3" fillId="5" borderId="0" xfId="0" applyFont="1" applyFill="1" applyAlignment="1">
      <alignment horizontal="center"/>
    </xf>
  </cellXfs>
  <cellStyles count="4">
    <cellStyle name="Milliers" xfId="1" builtinId="3"/>
    <cellStyle name="Normal" xfId="0" builtinId="0"/>
    <cellStyle name="Normal 2" xfId="2" xr:uid="{AAEF6BD7-D4FF-463B-AA14-83B913628D5F}"/>
    <cellStyle name="Pourcentage" xfId="3" builtinId="5"/>
  </cellStyles>
  <dxfs count="1259"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ont>
        <strike val="0"/>
      </font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76"/>
  <sheetViews>
    <sheetView tabSelected="1" topLeftCell="A70" zoomScale="70" zoomScaleNormal="70" workbookViewId="0">
      <selection activeCell="D80" sqref="D80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13</v>
      </c>
      <c r="B5" s="36"/>
      <c r="C5" s="36"/>
      <c r="D5" s="36"/>
      <c r="E5" s="36"/>
      <c r="F5" s="37"/>
    </row>
    <row r="7" spans="1:9" s="1" customFormat="1" ht="26.25" x14ac:dyDescent="0.4">
      <c r="A7" s="10" t="s">
        <v>16</v>
      </c>
      <c r="B7" s="10" t="s">
        <v>24</v>
      </c>
    </row>
    <row r="8" spans="1:9" s="1" customFormat="1" ht="26.25" x14ac:dyDescent="0.4">
      <c r="A8" s="10" t="s">
        <v>17</v>
      </c>
      <c r="B8" s="10" t="s">
        <v>26</v>
      </c>
    </row>
    <row r="9" spans="1:9" s="1" customFormat="1" ht="26.25" x14ac:dyDescent="0.4">
      <c r="A9" s="10" t="s">
        <v>18</v>
      </c>
      <c r="B9" s="17" t="s">
        <v>27</v>
      </c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6">
        <v>995</v>
      </c>
      <c r="E12" s="13">
        <f>+'6'!E12+'12'!E12+'8'!E12+'7'!E12+'2'!E12+'5'!E12+'4'!E12+'9'!E12+'1'!E12+'10'!E12+'3'!E12+'11'!E12+'13'!E12+'14'!E12+'15'!E12+'16'!E12+'17'!E12+'18'!E12+'19'!E12</f>
        <v>0</v>
      </c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6">
        <v>695</v>
      </c>
      <c r="E13" s="13">
        <f>+'6'!E13+'12'!E13+'8'!E13+'7'!E13+'2'!E13+'5'!E13+'4'!E13+'9'!E13+'1'!E13+'10'!E13+'3'!E13+'11'!E13+'13'!E13+'14'!E13+'15'!E13+'16'!E13+'17'!E13+'18'!E13+'19'!E13</f>
        <v>0</v>
      </c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6">
        <v>226</v>
      </c>
      <c r="E14" s="13">
        <f>+'1'!E14+'2'!E14+'3'!E14+'4'!E14+'5'!E14+'6'!E14+'7'!E14+'8'!E14+'9'!E14+'10'!E14+'11'!E14+'12'!E14+'13'!E14+'14'!E14+'15'!E14+'16'!E14+'17'!E14+'18'!E14+'19'!E14</f>
        <v>0</v>
      </c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6">
        <v>90</v>
      </c>
      <c r="E15" s="13">
        <f>+'1'!E15+'2'!E15+'3'!E15+'4'!E15+'5'!E15+'6'!E15+'7'!E15+'8'!E15+'9'!E15+'10'!E15+'11'!E15+'12'!E15+'13'!E15+'14'!E15+'15'!E15+'16'!E15+'17'!E15+'18'!E15+'19'!E15</f>
        <v>0</v>
      </c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6">
        <v>221</v>
      </c>
      <c r="E16" s="13">
        <f>+'1'!E16+'2'!E16+'3'!E16+'4'!E16+'5'!E16+'6'!E16+'7'!E16+'8'!E16+'9'!E16+'10'!E16+'11'!E16+'12'!E16+'13'!E16+'14'!E16+'15'!E16+'16'!E16+'17'!E16+'18'!E16+'19'!E16</f>
        <v>0</v>
      </c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6">
        <v>595</v>
      </c>
      <c r="E17" s="13">
        <f>+'1'!E17+'2'!E17+'3'!E17+'4'!E17+'5'!E17+'6'!E17+'7'!E17+'8'!E17+'9'!E17+'10'!E17+'11'!E17+'12'!E17+'13'!E17+'14'!E17+'15'!E17+'16'!E17+'17'!E17+'18'!E17+'19'!E17</f>
        <v>0</v>
      </c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6">
        <v>90</v>
      </c>
      <c r="E18" s="13">
        <f>+'1'!E18+'2'!E18+'3'!E18+'4'!E18+'5'!E18+'6'!E18+'7'!E18+'8'!E18+'9'!E18+'10'!E18+'11'!E18+'12'!E18+'13'!E18+'14'!E18+'15'!E18+'16'!E18+'17'!E18+'18'!E18+'19'!E18</f>
        <v>0</v>
      </c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6">
        <v>213</v>
      </c>
      <c r="E19" s="13">
        <f>+'1'!E19+'2'!E19+'3'!E19+'4'!E19+'5'!E19+'6'!E19+'7'!E19+'8'!E19+'9'!E19+'10'!E19+'11'!E19+'12'!E19+'13'!E19+'14'!E19+'15'!E19+'16'!E19+'17'!E19+'18'!E19+'19'!E19</f>
        <v>0</v>
      </c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6">
        <v>417</v>
      </c>
      <c r="E20" s="13">
        <f>+'1'!E20+'2'!E20+'3'!E20+'4'!E20+'5'!E20+'6'!E20+'7'!E20+'8'!E20+'9'!E20+'10'!E20+'11'!E20+'12'!E20+'13'!E20+'14'!E20+'15'!E20+'16'!E20+'17'!E20+'18'!E20+'19'!E20</f>
        <v>0</v>
      </c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6">
        <v>123.5</v>
      </c>
      <c r="E21" s="13">
        <f>+'1'!E21+'2'!E21+'3'!E21+'4'!E21+'5'!E21+'6'!E21+'7'!E21+'8'!E21+'9'!E21+'10'!E21+'11'!E21+'12'!E21+'13'!E21+'14'!E21+'15'!E21+'16'!E21+'17'!E21+'18'!E21+'19'!E21</f>
        <v>0</v>
      </c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6">
        <v>168</v>
      </c>
      <c r="E22" s="13">
        <f>+'1'!E22+'2'!E22+'3'!E22+'4'!E22+'5'!E22+'6'!E22+'7'!E22+'8'!E22+'9'!E22+'10'!E22+'11'!E22+'12'!E22+'13'!E22+'14'!E22+'15'!E22+'16'!E22+'17'!E22+'18'!E22+'19'!E22</f>
        <v>0</v>
      </c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6">
        <v>810</v>
      </c>
      <c r="E23" s="13">
        <f>+'1'!E23+'2'!E23+'3'!E23+'4'!E23+'5'!E23+'6'!E23+'7'!E23+'8'!E23+'9'!E23+'10'!E23+'11'!E23+'12'!E23+'13'!E23+'14'!E23+'15'!E23+'16'!E23+'17'!E23+'18'!E23+'19'!E23</f>
        <v>0</v>
      </c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6">
        <v>810</v>
      </c>
      <c r="E24" s="13">
        <f>+'1'!E24+'2'!E24+'3'!E24+'4'!E24+'5'!E24+'6'!E24+'7'!E24+'8'!E24+'9'!E24+'10'!E24+'11'!E24+'12'!E24+'13'!E24+'14'!E24+'15'!E24+'16'!E24+'17'!E24+'18'!E24+'19'!E24</f>
        <v>0</v>
      </c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6">
        <v>810</v>
      </c>
      <c r="E25" s="13">
        <f>+'1'!E25+'2'!E25+'3'!E25+'4'!E25+'5'!E25+'6'!E25+'7'!E25+'8'!E25+'9'!E25+'10'!E25+'11'!E25+'12'!E25+'13'!E25+'14'!E25+'15'!E25+'16'!E25+'17'!E25+'18'!E25+'19'!E25</f>
        <v>0</v>
      </c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6">
        <v>377</v>
      </c>
      <c r="E26" s="13">
        <f>+'1'!E26+'2'!E26+'3'!E26+'4'!E26+'5'!E26+'6'!E26+'7'!E26+'8'!E26+'9'!E26+'10'!E26+'11'!E26+'12'!E26+'13'!E26+'14'!E26+'15'!E26+'16'!E26+'17'!E26+'18'!E26+'19'!E26</f>
        <v>0</v>
      </c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6">
        <v>377</v>
      </c>
      <c r="E27" s="13">
        <f>+'1'!E27+'2'!E27+'3'!E27+'4'!E27+'5'!E27+'6'!E27+'7'!E27+'8'!E27+'9'!E27+'10'!E27+'11'!E27+'12'!E27+'13'!E27+'14'!E27+'15'!E27+'16'!E27+'17'!E27+'18'!E27+'19'!E27</f>
        <v>0</v>
      </c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6">
        <v>1145</v>
      </c>
      <c r="E28" s="13">
        <f>+'1'!E28+'2'!E28+'3'!E28+'4'!E28+'5'!E28+'6'!E28+'7'!E28+'8'!E28+'9'!E28+'10'!E28+'11'!E28+'12'!E28+'13'!E28+'14'!E28+'15'!E28+'16'!E28+'17'!E28+'18'!E28+'19'!E28</f>
        <v>0</v>
      </c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6">
        <v>792</v>
      </c>
      <c r="E29" s="13">
        <f>+'1'!E29+'2'!E29+'3'!E29+'4'!E29+'5'!E29+'6'!E29+'7'!E29+'8'!E29+'9'!E29+'10'!E29+'11'!E29+'12'!E29+'13'!E29+'14'!E29+'15'!E29+'16'!E29+'17'!E29+'18'!E29+'19'!E29</f>
        <v>0</v>
      </c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6">
        <v>331</v>
      </c>
      <c r="E30" s="13">
        <f>+'1'!E30+'2'!E30+'3'!E30+'4'!E30+'5'!E30+'6'!E30+'7'!E30+'8'!E30+'9'!E30+'10'!E30+'11'!E30+'12'!E30+'13'!E30+'14'!E30+'15'!E30+'16'!E30+'17'!E30+'18'!E30+'19'!E30</f>
        <v>0</v>
      </c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6">
        <v>100</v>
      </c>
      <c r="E31" s="13">
        <f>+'1'!E31+'2'!E31+'3'!E31+'4'!E31+'5'!E31+'6'!E31+'7'!E31+'8'!E31+'9'!E31+'10'!E31+'11'!E31+'12'!E31+'13'!E31+'14'!E31+'15'!E31+'16'!E31+'17'!E31+'18'!E31+'19'!E31</f>
        <v>0</v>
      </c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6">
        <v>233</v>
      </c>
      <c r="E32" s="13">
        <f>+'1'!E32+'2'!E32+'3'!E32+'4'!E32+'5'!E32+'6'!E32+'7'!E32+'8'!E32+'9'!E32+'10'!E32+'11'!E32+'12'!E32+'13'!E32+'14'!E32+'15'!E32+'16'!E32+'17'!E32+'18'!E32+'19'!E32</f>
        <v>0</v>
      </c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6">
        <v>284</v>
      </c>
      <c r="E33" s="13">
        <f>+'1'!E33+'2'!E33+'3'!E33+'4'!E33+'5'!E33+'6'!E33+'7'!E33+'8'!E33+'9'!E33+'10'!E33+'11'!E33+'12'!E33+'13'!E33+'14'!E33+'15'!E33+'16'!E33+'17'!E33+'18'!E33+'19'!E33</f>
        <v>0</v>
      </c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6">
        <v>168</v>
      </c>
      <c r="E34" s="13">
        <f>+'1'!E34+'2'!E34+'3'!E34+'4'!E34+'5'!E34+'6'!E34+'7'!E34+'8'!E34+'9'!E34+'10'!E34+'11'!E34+'12'!E34+'13'!E34+'14'!E34+'15'!E34+'16'!E34+'17'!E34+'18'!E34+'19'!E34</f>
        <v>0</v>
      </c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6">
        <v>664</v>
      </c>
      <c r="E35" s="13">
        <f>+'1'!E35+'2'!E35+'3'!E35+'4'!E35+'5'!E35+'6'!E35+'7'!E35+'8'!E35+'9'!E35+'10'!E35+'11'!E35+'12'!E35+'13'!E35+'14'!E35+'15'!E35+'16'!E35+'17'!E35+'18'!E35+'19'!E35</f>
        <v>0</v>
      </c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6">
        <v>221</v>
      </c>
      <c r="E36" s="13">
        <f>+'1'!E36+'2'!E36+'3'!E36+'4'!E36+'5'!E36+'6'!E36+'7'!E36+'8'!E36+'9'!E36+'10'!E36+'11'!E36+'12'!E36+'13'!E36+'14'!E36+'15'!E36+'16'!E36+'17'!E36+'18'!E36+'19'!E36</f>
        <v>0</v>
      </c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6">
        <v>90</v>
      </c>
      <c r="E37" s="13">
        <f>+'1'!E37+'2'!E37+'3'!E37+'4'!E37+'5'!E37+'6'!E37+'7'!E37+'8'!E37+'9'!E37+'10'!E37+'11'!E37+'12'!E37+'13'!E37+'14'!E37+'15'!E37+'16'!E37+'17'!E37+'18'!E37+'19'!E37</f>
        <v>0</v>
      </c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6">
        <v>723</v>
      </c>
      <c r="E38" s="13">
        <f>+'1'!E38+'2'!E38+'3'!E38+'4'!E38+'5'!E38+'6'!E38+'7'!E38+'8'!E38+'9'!E38+'10'!E38+'11'!E38+'12'!E38+'13'!E38+'14'!E38+'15'!E38+'16'!E38+'17'!E38+'18'!E38+'19'!E38</f>
        <v>0</v>
      </c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6">
        <v>510</v>
      </c>
      <c r="E39" s="13">
        <f>+'1'!E39+'2'!E39+'3'!E39+'4'!E39+'5'!E39+'6'!E39+'7'!E39+'8'!E39+'9'!E39+'10'!E39+'11'!E39+'12'!E39+'13'!E39+'14'!E39+'15'!E39+'16'!E39+'17'!E39+'18'!E39+'19'!E39</f>
        <v>0</v>
      </c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4">
        <v>265</v>
      </c>
      <c r="E40" s="13">
        <f>+'1'!E40+'2'!E40+'3'!E40+'4'!E40+'5'!E40+'6'!E40+'7'!E40+'8'!E40+'9'!E40+'10'!E40+'11'!E40+'12'!E40+'13'!E40+'14'!E40+'15'!E40+'16'!E40+'17'!E40+'18'!E40+'19'!E40</f>
        <v>0</v>
      </c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6">
        <v>86</v>
      </c>
      <c r="E41" s="13">
        <f>+'1'!E41+'2'!E41+'3'!E41+'4'!E41+'5'!E41+'6'!E41+'7'!E41+'8'!E41+'9'!E41+'10'!E41+'11'!E41+'12'!E41+'13'!E41+'14'!E41+'15'!E41+'16'!E41+'17'!E41+'18'!E41+'19'!E41</f>
        <v>0</v>
      </c>
      <c r="F41" s="6">
        <f t="shared" ref="F41:F69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6">
        <v>154</v>
      </c>
      <c r="E42" s="13">
        <f>+'1'!E42+'2'!E42+'3'!E42+'4'!E42+'5'!E42+'6'!E42+'7'!E42+'8'!E42+'9'!E42+'10'!E42+'11'!E42+'12'!E42+'13'!E42+'14'!E42+'15'!E42+'16'!E42+'17'!E42+'18'!E42+'19'!E42</f>
        <v>0</v>
      </c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6">
        <v>284</v>
      </c>
      <c r="E43" s="13">
        <f>+'1'!E43+'2'!E43+'3'!E43+'4'!E43+'5'!E43+'6'!E43+'7'!E43+'8'!E43+'9'!E43+'10'!E43+'11'!E43+'12'!E43+'13'!E43+'14'!E43+'15'!E43+'16'!E43+'17'!E43+'18'!E43+'19'!E43</f>
        <v>0</v>
      </c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20">
        <v>426</v>
      </c>
      <c r="E44" s="13">
        <f>+'1'!E44+'2'!E44+'3'!E44+'4'!E44+'5'!E44+'6'!E44+'7'!E44+'8'!E44+'9'!E44+'10'!E44+'11'!E44+'12'!E44+'13'!E44+'14'!E44+'15'!E44+'16'!E44+'17'!E44+'18'!E44+'19'!E44</f>
        <v>0</v>
      </c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6">
        <v>267</v>
      </c>
      <c r="E45" s="13">
        <f>+'1'!E45+'2'!E45+'3'!E45+'4'!E45+'5'!E45+'6'!E45+'7'!E45+'8'!E45+'9'!E45+'10'!E45+'11'!E45+'12'!E45+'13'!E45+'14'!E45+'15'!E45+'16'!E45+'17'!E45+'18'!E45+'19'!E45</f>
        <v>0</v>
      </c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6">
        <v>267</v>
      </c>
      <c r="E46" s="13">
        <f>+'1'!E46+'2'!E46+'3'!E46+'4'!E46+'5'!E46+'6'!E46+'7'!E46+'8'!E46+'9'!E46+'10'!E46+'11'!E46+'12'!E46+'13'!E46+'14'!E46+'15'!E46+'16'!E46+'17'!E46+'18'!E46+'19'!E46</f>
        <v>0</v>
      </c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6">
        <v>156</v>
      </c>
      <c r="E47" s="13">
        <f>+'1'!E47+'2'!E47+'3'!E47+'4'!E47+'5'!E47+'6'!E47+'7'!E47+'8'!E47+'9'!E47+'10'!E47+'11'!E47+'12'!E47+'13'!E47+'14'!E47+'15'!E47+'16'!E47+'17'!E47+'18'!E47+'19'!E47</f>
        <v>0</v>
      </c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6">
        <v>156</v>
      </c>
      <c r="E48" s="13">
        <f>+'1'!E48+'2'!E48+'3'!E48+'4'!E48+'5'!E48+'6'!E48+'7'!E48+'8'!E48+'9'!E48+'10'!E48+'11'!E48+'12'!E48+'13'!E48+'14'!E48+'15'!E48+'16'!E48+'17'!E48+'18'!E48+'19'!E48</f>
        <v>0</v>
      </c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6">
        <v>151</v>
      </c>
      <c r="E49" s="13">
        <f>+'1'!E49+'2'!E49+'3'!E49+'4'!E49+'5'!E49+'6'!E49+'7'!E49+'8'!E49+'9'!E49+'10'!E49+'11'!E49+'12'!E49+'13'!E49+'14'!E49+'15'!E49+'16'!E49+'17'!E49+'18'!E49+'19'!E49</f>
        <v>0</v>
      </c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6">
        <v>3023684</v>
      </c>
      <c r="B50" s="18" t="s">
        <v>63</v>
      </c>
      <c r="C50" s="27">
        <v>12</v>
      </c>
      <c r="D50" s="6">
        <v>151</v>
      </c>
      <c r="E50" s="13">
        <f>+'1'!E50+'2'!E50+'3'!E50+'4'!E50+'5'!E50+'6'!E50+'7'!E50+'8'!E50+'9'!E50+'10'!E50+'11'!E50+'12'!E50+'13'!E50+'14'!E50+'15'!E50+'16'!E50+'17'!E50+'18'!E50+'19'!E50</f>
        <v>0</v>
      </c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6">
        <v>3021473</v>
      </c>
      <c r="B51" s="18" t="s">
        <v>64</v>
      </c>
      <c r="C51" s="27">
        <v>12</v>
      </c>
      <c r="D51" s="6">
        <v>151</v>
      </c>
      <c r="E51" s="13">
        <f>+'1'!E51+'2'!E51+'3'!E51+'4'!E51+'5'!E51+'6'!E51+'7'!E51+'8'!E51+'9'!E51+'10'!E51+'11'!E51+'12'!E51+'13'!E51+'14'!E51+'15'!E51+'16'!E51+'17'!E51+'18'!E51+'19'!E51</f>
        <v>0</v>
      </c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6">
        <v>3030417</v>
      </c>
      <c r="B52" s="18" t="s">
        <v>49</v>
      </c>
      <c r="C52" s="27">
        <v>12</v>
      </c>
      <c r="D52" s="6">
        <v>213</v>
      </c>
      <c r="E52" s="13">
        <f>+'1'!E52+'2'!E52+'3'!E52+'4'!E52+'5'!E52+'6'!E52+'7'!E52+'8'!E52+'9'!E52+'10'!E52+'11'!E52+'12'!E52+'13'!E52+'14'!E52+'15'!E52+'16'!E52+'17'!E52+'18'!E52+'19'!E52</f>
        <v>0</v>
      </c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6">
        <v>3030426</v>
      </c>
      <c r="B53" s="18" t="s">
        <v>50</v>
      </c>
      <c r="C53" s="27">
        <v>8</v>
      </c>
      <c r="D53" s="6">
        <v>415</v>
      </c>
      <c r="E53" s="13">
        <f>+'1'!E53+'2'!E53+'3'!E53+'4'!E53+'5'!E53+'6'!E53+'7'!E53+'8'!E53+'9'!E53+'10'!E53+'11'!E53+'12'!E53+'13'!E53+'14'!E53+'15'!E53+'16'!E53+'17'!E53+'18'!E53+'19'!E53</f>
        <v>0</v>
      </c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6">
        <v>605</v>
      </c>
      <c r="E54" s="13">
        <f>+'1'!E54+'2'!E54+'3'!E54+'4'!E54+'5'!E54+'6'!E54+'7'!E54+'8'!E54+'9'!E54+'10'!E54+'11'!E54+'12'!E54+'13'!E54+'14'!E54+'15'!E54+'16'!E54+'17'!E54+'18'!E54+'19'!E54</f>
        <v>0</v>
      </c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6">
        <v>168</v>
      </c>
      <c r="E55" s="13">
        <f>+'1'!E55+'2'!E55+'3'!E55+'4'!E55+'5'!E55+'6'!E55+'7'!E55+'8'!E55+'9'!E55+'10'!E55+'11'!E55+'12'!E55+'13'!E55+'14'!E55+'15'!E55+'16'!E55+'17'!E55+'18'!E55+'19'!E55</f>
        <v>0</v>
      </c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6">
        <v>233</v>
      </c>
      <c r="E56" s="13">
        <f>+'1'!E56+'2'!E56+'3'!E56+'4'!E56+'5'!E56+'6'!E56+'7'!E56+'8'!E56+'9'!E56+'10'!E56+'11'!E56+'12'!E56+'13'!E56+'14'!E56+'15'!E56+'16'!E56+'17'!E56+'18'!E56+'19'!E56</f>
        <v>0</v>
      </c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6">
        <v>100</v>
      </c>
      <c r="E57" s="13">
        <f>+'1'!E57+'2'!E57+'3'!E57+'4'!E57+'5'!E57+'6'!E57+'7'!E57+'8'!E57+'9'!E57+'10'!E57+'11'!E57+'12'!E57+'13'!E57+'14'!E57+'15'!E57+'16'!E57+'17'!E57+'18'!E57+'19'!E57</f>
        <v>0</v>
      </c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6">
        <v>725</v>
      </c>
      <c r="E58" s="13">
        <f>+'1'!E58+'2'!E58+'3'!E58+'4'!E58+'5'!E58+'6'!E58+'7'!E58+'8'!E58+'9'!E58+'10'!E58+'11'!E58+'12'!E58+'13'!E58+'14'!E58+'15'!E58+'16'!E58+'17'!E58+'18'!E58+'19'!E58</f>
        <v>0</v>
      </c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6">
        <v>725</v>
      </c>
      <c r="E59" s="13">
        <f>+'1'!E59+'2'!E59+'3'!E59+'4'!E59+'5'!E59+'6'!E59+'7'!E59+'8'!E59+'9'!E59+'10'!E59+'11'!E59+'12'!E59+'13'!E59+'14'!E59+'15'!E59+'16'!E59+'17'!E59+'18'!E59+'19'!E59</f>
        <v>0</v>
      </c>
      <c r="F59" s="6">
        <f t="shared" si="3"/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6">
        <v>725</v>
      </c>
      <c r="E60" s="13">
        <f>+'1'!E60+'2'!E60+'3'!E60+'4'!E60+'5'!E60+'6'!E60+'7'!E60+'8'!E60+'9'!E60+'10'!E60+'11'!E60+'12'!E60+'13'!E60+'14'!E60+'15'!E60+'16'!E60+'17'!E60+'18'!E60+'19'!E60</f>
        <v>0</v>
      </c>
      <c r="F60" s="6">
        <f t="shared" ref="F60:F61" si="4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20">
        <v>510</v>
      </c>
      <c r="E61" s="13">
        <f>+'1'!E61+'2'!E61+'3'!E61+'4'!E61+'5'!E61+'6'!E61+'7'!E61+'8'!E61+'9'!E61+'10'!E61+'11'!E61+'12'!E61+'13'!E61+'14'!E61+'15'!E61+'16'!E61+'17'!E61+'18'!E61+'19'!E61</f>
        <v>0</v>
      </c>
      <c r="F61" s="6">
        <f t="shared" si="4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20">
        <v>378.5</v>
      </c>
      <c r="E62" s="13">
        <f>+'1'!E62+'2'!E62+'3'!E62+'4'!E62+'5'!E62+'6'!E62+'7'!E62+'8'!E62+'9'!E62+'10'!E62+'11'!E62+'12'!E62+'13'!E62+'14'!E62+'15'!E62+'16'!E62+'17'!E62+'18'!E62+'19'!E62</f>
        <v>0</v>
      </c>
      <c r="F62" s="6">
        <f t="shared" ref="F62:F63" si="5">C62*D62*E62</f>
        <v>0</v>
      </c>
      <c r="G62" s="6"/>
      <c r="H62" s="31">
        <v>0.04</v>
      </c>
      <c r="I62" s="6">
        <f t="shared" ref="I62:I63" si="6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20">
        <v>378.5</v>
      </c>
      <c r="E63" s="13">
        <f>+'1'!E63+'2'!E63+'3'!E63+'4'!E63+'5'!E63+'6'!E63+'7'!E63+'8'!E63+'9'!E63+'10'!E63+'11'!E63+'12'!E63+'13'!E63+'14'!E63+'15'!E63+'16'!E63+'17'!E63+'18'!E63+'19'!E63</f>
        <v>0</v>
      </c>
      <c r="F63" s="6">
        <f t="shared" si="5"/>
        <v>0</v>
      </c>
      <c r="G63" s="6"/>
      <c r="H63" s="31">
        <v>0.04</v>
      </c>
      <c r="I63" s="6">
        <f t="shared" si="6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20">
        <v>378.5</v>
      </c>
      <c r="E64" s="13"/>
      <c r="F64" s="6">
        <f t="shared" si="3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20">
        <v>378.5</v>
      </c>
      <c r="E65" s="13"/>
      <c r="F65" s="6">
        <f t="shared" si="3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20">
        <v>379</v>
      </c>
      <c r="E66" s="13">
        <f>+'1'!E66+'2'!E66+'3'!E66+'4'!E66+'5'!E66+'6'!E66+'7'!E66+'8'!E66+'9'!E66+'10'!E66+'11'!E66+'12'!E66+'13'!E66+'14'!E66+'15'!E66+'16'!E66+'17'!E66+'18'!E66+'19'!E66</f>
        <v>0</v>
      </c>
      <c r="F66" s="6">
        <f t="shared" si="3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20">
        <v>379</v>
      </c>
      <c r="E67" s="13">
        <f>+'1'!E67+'2'!E67+'3'!E67+'4'!E67+'5'!E67+'6'!E67+'7'!E67+'8'!E67+'9'!E67+'10'!E67+'11'!E67+'12'!E67+'13'!E67+'14'!E67+'15'!E67+'16'!E67+'17'!E67+'18'!E67+'19'!E67</f>
        <v>0</v>
      </c>
      <c r="F67" s="6">
        <f t="shared" si="3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20">
        <v>379</v>
      </c>
      <c r="E68" s="13">
        <f>+'1'!E68+'2'!E68+'3'!E68+'4'!E68+'5'!E68+'6'!E68+'7'!E68+'8'!E68+'9'!E68+'10'!E68+'11'!E68+'12'!E68+'13'!E68+'14'!E68+'15'!E68+'16'!E68+'17'!E68+'18'!E68+'19'!E68</f>
        <v>0</v>
      </c>
      <c r="F68" s="6">
        <f t="shared" si="3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20">
        <v>379</v>
      </c>
      <c r="E69" s="13">
        <f>+'1'!E69+'2'!E69+'3'!E69+'4'!E69+'5'!E69+'6'!E69+'7'!E69+'8'!E69+'9'!E69+'10'!E69+'11'!E69+'12'!E69+'13'!E69+'14'!E69+'15'!E69+'16'!E69+'17'!E69+'18'!E69+'19'!E69</f>
        <v>0</v>
      </c>
      <c r="F69" s="6">
        <f t="shared" si="3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20">
        <v>725</v>
      </c>
      <c r="E70" s="13">
        <f>+'1'!E70+'2'!E70+'3'!E70+'4'!E70+'5'!E70+'6'!E70+'7'!E70+'8'!E70+'9'!E70+'10'!E70+'11'!E70+'12'!E70+'13'!E70+'14'!E70+'15'!E70+'16'!E70+'17'!E70+'18'!E70+'19'!E70</f>
        <v>0</v>
      </c>
      <c r="F70" s="6">
        <f t="shared" ref="F70:F73" si="7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20">
        <v>725</v>
      </c>
      <c r="E71" s="13">
        <f>+'1'!E71+'2'!E71+'3'!E71+'4'!E71+'5'!E71+'6'!E71+'7'!E71+'8'!E71+'9'!E71+'10'!E71+'11'!E71+'12'!E71+'13'!E71+'14'!E71+'15'!E71+'16'!E71+'17'!E71+'18'!E71+'19'!E71</f>
        <v>0</v>
      </c>
      <c r="F71" s="6">
        <f t="shared" si="7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20">
        <v>725</v>
      </c>
      <c r="E72" s="13">
        <f>+'1'!E72+'2'!E72+'3'!E72+'4'!E72+'5'!E72+'6'!E72+'7'!E72+'8'!E72+'9'!E72+'10'!E72+'11'!E72+'12'!E72+'13'!E72+'14'!E72+'15'!E72+'16'!E72+'17'!E72+'18'!E72+'19'!E72</f>
        <v>0</v>
      </c>
      <c r="F72" s="6">
        <f t="shared" si="7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20">
        <v>284</v>
      </c>
      <c r="E73" s="13">
        <f>+'1'!E73+'2'!E73+'3'!E73+'4'!E73+'5'!E73+'6'!E73+'7'!E73+'8'!E73+'9'!E73+'10'!E73+'11'!E73+'12'!E73+'13'!E73+'14'!E73+'15'!E73+'16'!E73+'17'!E73+'18'!E73+'19'!E73</f>
        <v>0</v>
      </c>
      <c r="F73" s="6">
        <f t="shared" si="7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5">
    <mergeCell ref="A1:F1"/>
    <mergeCell ref="A5:F5"/>
    <mergeCell ref="A2:F2"/>
    <mergeCell ref="A3:F3"/>
    <mergeCell ref="B74:C74"/>
  </mergeCells>
  <conditionalFormatting sqref="E12:E73">
    <cfRule type="cellIs" dxfId="1258" priority="39" operator="greaterThan">
      <formula>0</formula>
    </cfRule>
    <cfRule type="cellIs" dxfId="1257" priority="40" operator="greaterThan">
      <formula>10</formula>
    </cfRule>
    <cfRule type="cellIs" dxfId="1256" priority="41" operator="greaterThan">
      <formula>0</formula>
    </cfRule>
  </conditionalFormatting>
  <conditionalFormatting sqref="D74">
    <cfRule type="cellIs" dxfId="1255" priority="36" operator="greaterThan">
      <formula>0</formula>
    </cfRule>
    <cfRule type="cellIs" dxfId="1254" priority="37" operator="greaterThan">
      <formula>10</formula>
    </cfRule>
    <cfRule type="cellIs" dxfId="1253" priority="38" operator="greaterThan">
      <formula>0</formula>
    </cfRule>
  </conditionalFormatting>
  <conditionalFormatting sqref="D40">
    <cfRule type="cellIs" dxfId="1252" priority="30" operator="greaterThan">
      <formula>0</formula>
    </cfRule>
    <cfRule type="cellIs" dxfId="1251" priority="31" operator="greaterThan">
      <formula>10</formula>
    </cfRule>
    <cfRule type="cellIs" dxfId="1250" priority="32" operator="greaterThan">
      <formula>0</formula>
    </cfRule>
  </conditionalFormatting>
  <conditionalFormatting sqref="I12:I73">
    <cfRule type="cellIs" dxfId="1249" priority="2" operator="equal">
      <formula>$G12</formula>
    </cfRule>
  </conditionalFormatting>
  <conditionalFormatting sqref="I12:I73">
    <cfRule type="cellIs" dxfId="1248" priority="1" operator="greaterThan">
      <formula>$G12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76"/>
  <sheetViews>
    <sheetView topLeftCell="A4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5703125" customWidth="1"/>
    <col min="3" max="3" width="17.85546875" bestFit="1" customWidth="1"/>
    <col min="4" max="4" width="17.140625" bestFit="1" customWidth="1"/>
    <col min="5" max="5" width="27" bestFit="1" customWidth="1"/>
    <col min="6" max="6" width="31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7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7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autoFilter ref="A11:F74" xr:uid="{4B35C855-52B3-44B3-95C0-6D0FCB67AEAD}"/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63:D74 E12:E73">
    <cfRule type="cellIs" dxfId="1247" priority="84" operator="greaterThan">
      <formula>0</formula>
    </cfRule>
    <cfRule type="cellIs" dxfId="1246" priority="85" operator="greaterThan">
      <formula>10</formula>
    </cfRule>
    <cfRule type="cellIs" dxfId="1245" priority="86" operator="greaterThan">
      <formula>0</formula>
    </cfRule>
  </conditionalFormatting>
  <conditionalFormatting sqref="D12 D42:D44 D39:D40 D36:D37 D18:D34 D15:D16">
    <cfRule type="cellIs" dxfId="1244" priority="51" operator="greaterThan">
      <formula>0</formula>
    </cfRule>
    <cfRule type="cellIs" dxfId="1243" priority="52" operator="greaterThan">
      <formula>10</formula>
    </cfRule>
    <cfRule type="cellIs" dxfId="1242" priority="53" operator="greaterThan">
      <formula>0</formula>
    </cfRule>
  </conditionalFormatting>
  <conditionalFormatting sqref="D41">
    <cfRule type="cellIs" dxfId="1241" priority="33" operator="greaterThan">
      <formula>0</formula>
    </cfRule>
    <cfRule type="cellIs" dxfId="1240" priority="34" operator="greaterThan">
      <formula>10</formula>
    </cfRule>
    <cfRule type="cellIs" dxfId="1239" priority="35" operator="greaterThan">
      <formula>0</formula>
    </cfRule>
  </conditionalFormatting>
  <conditionalFormatting sqref="D38">
    <cfRule type="cellIs" dxfId="1238" priority="30" operator="greaterThan">
      <formula>0</formula>
    </cfRule>
    <cfRule type="cellIs" dxfId="1237" priority="31" operator="greaterThan">
      <formula>10</formula>
    </cfRule>
    <cfRule type="cellIs" dxfId="1236" priority="32" operator="greaterThan">
      <formula>0</formula>
    </cfRule>
  </conditionalFormatting>
  <conditionalFormatting sqref="D35">
    <cfRule type="cellIs" dxfId="1235" priority="21" operator="greaterThan">
      <formula>0</formula>
    </cfRule>
    <cfRule type="cellIs" dxfId="1234" priority="22" operator="greaterThan">
      <formula>10</formula>
    </cfRule>
    <cfRule type="cellIs" dxfId="1233" priority="23" operator="greaterThan">
      <formula>0</formula>
    </cfRule>
  </conditionalFormatting>
  <conditionalFormatting sqref="D45:D61">
    <cfRule type="cellIs" dxfId="1232" priority="18" operator="greaterThan">
      <formula>0</formula>
    </cfRule>
    <cfRule type="cellIs" dxfId="1231" priority="19" operator="greaterThan">
      <formula>10</formula>
    </cfRule>
    <cfRule type="cellIs" dxfId="1230" priority="20" operator="greaterThan">
      <formula>0</formula>
    </cfRule>
  </conditionalFormatting>
  <conditionalFormatting sqref="D17">
    <cfRule type="cellIs" dxfId="1229" priority="15" operator="greaterThan">
      <formula>0</formula>
    </cfRule>
    <cfRule type="cellIs" dxfId="1228" priority="16" operator="greaterThan">
      <formula>10</formula>
    </cfRule>
    <cfRule type="cellIs" dxfId="1227" priority="17" operator="greaterThan">
      <formula>0</formula>
    </cfRule>
  </conditionalFormatting>
  <conditionalFormatting sqref="D13">
    <cfRule type="cellIs" dxfId="1226" priority="12" operator="greaterThan">
      <formula>0</formula>
    </cfRule>
    <cfRule type="cellIs" dxfId="1225" priority="13" operator="greaterThan">
      <formula>10</formula>
    </cfRule>
    <cfRule type="cellIs" dxfId="1224" priority="14" operator="greaterThan">
      <formula>0</formula>
    </cfRule>
  </conditionalFormatting>
  <conditionalFormatting sqref="D56">
    <cfRule type="cellIs" dxfId="1223" priority="9" operator="greaterThan">
      <formula>0</formula>
    </cfRule>
    <cfRule type="cellIs" dxfId="1222" priority="10" operator="greaterThan">
      <formula>10</formula>
    </cfRule>
    <cfRule type="cellIs" dxfId="1221" priority="11" operator="greaterThan">
      <formula>0</formula>
    </cfRule>
  </conditionalFormatting>
  <conditionalFormatting sqref="D14">
    <cfRule type="cellIs" dxfId="1220" priority="6" operator="greaterThan">
      <formula>0</formula>
    </cfRule>
    <cfRule type="cellIs" dxfId="1219" priority="7" operator="greaterThan">
      <formula>10</formula>
    </cfRule>
    <cfRule type="cellIs" dxfId="1218" priority="8" operator="greaterThan">
      <formula>0</formula>
    </cfRule>
  </conditionalFormatting>
  <conditionalFormatting sqref="I12:I73">
    <cfRule type="cellIs" dxfId="1217" priority="5" operator="equal">
      <formula>$G12</formula>
    </cfRule>
  </conditionalFormatting>
  <conditionalFormatting sqref="I12:I73">
    <cfRule type="cellIs" dxfId="1216" priority="4" operator="greaterThan">
      <formula>$G12</formula>
    </cfRule>
  </conditionalFormatting>
  <conditionalFormatting sqref="D62">
    <cfRule type="cellIs" dxfId="1215" priority="1" operator="greaterThan">
      <formula>0</formula>
    </cfRule>
    <cfRule type="cellIs" dxfId="1214" priority="2" operator="greaterThan">
      <formula>10</formula>
    </cfRule>
    <cfRule type="cellIs" dxfId="1213" priority="3" operator="greaterThan">
      <formula>0</formula>
    </cfRule>
  </conditionalFormatting>
  <pageMargins left="0.7" right="0.7" top="0.75" bottom="0.75" header="0.3" footer="0.3"/>
  <pageSetup paperSize="9" scale="41" fitToHeight="0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76"/>
  <sheetViews>
    <sheetView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7.85546875" bestFit="1" customWidth="1"/>
    <col min="4" max="4" width="17.140625" bestFit="1" customWidth="1"/>
    <col min="5" max="5" width="27" bestFit="1" customWidth="1"/>
    <col min="6" max="6" width="31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autoFilter ref="A11:F74" xr:uid="{1C29F66A-6ED4-45FA-A0D2-B77A0ED7713A}"/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63:D74 E12:E73">
    <cfRule type="cellIs" dxfId="1212" priority="81" operator="greaterThan">
      <formula>0</formula>
    </cfRule>
    <cfRule type="cellIs" dxfId="1211" priority="82" operator="greaterThan">
      <formula>10</formula>
    </cfRule>
    <cfRule type="cellIs" dxfId="1210" priority="83" operator="greaterThan">
      <formula>0</formula>
    </cfRule>
  </conditionalFormatting>
  <conditionalFormatting sqref="D12 D42:D44 D39:D40 D36:D37 D15:D34">
    <cfRule type="cellIs" dxfId="1209" priority="48" operator="greaterThan">
      <formula>0</formula>
    </cfRule>
    <cfRule type="cellIs" dxfId="1208" priority="49" operator="greaterThan">
      <formula>10</formula>
    </cfRule>
    <cfRule type="cellIs" dxfId="1207" priority="50" operator="greaterThan">
      <formula>0</formula>
    </cfRule>
  </conditionalFormatting>
  <conditionalFormatting sqref="D41">
    <cfRule type="cellIs" dxfId="1206" priority="30" operator="greaterThan">
      <formula>0</formula>
    </cfRule>
    <cfRule type="cellIs" dxfId="1205" priority="31" operator="greaterThan">
      <formula>10</formula>
    </cfRule>
    <cfRule type="cellIs" dxfId="1204" priority="32" operator="greaterThan">
      <formula>0</formula>
    </cfRule>
  </conditionalFormatting>
  <conditionalFormatting sqref="D38">
    <cfRule type="cellIs" dxfId="1203" priority="27" operator="greaterThan">
      <formula>0</formula>
    </cfRule>
    <cfRule type="cellIs" dxfId="1202" priority="28" operator="greaterThan">
      <formula>10</formula>
    </cfRule>
    <cfRule type="cellIs" dxfId="1201" priority="29" operator="greaterThan">
      <formula>0</formula>
    </cfRule>
  </conditionalFormatting>
  <conditionalFormatting sqref="D35">
    <cfRule type="cellIs" dxfId="1200" priority="18" operator="greaterThan">
      <formula>0</formula>
    </cfRule>
    <cfRule type="cellIs" dxfId="1199" priority="19" operator="greaterThan">
      <formula>10</formula>
    </cfRule>
    <cfRule type="cellIs" dxfId="1198" priority="20" operator="greaterThan">
      <formula>0</formula>
    </cfRule>
  </conditionalFormatting>
  <conditionalFormatting sqref="D45:D61">
    <cfRule type="cellIs" dxfId="1197" priority="15" operator="greaterThan">
      <formula>0</formula>
    </cfRule>
    <cfRule type="cellIs" dxfId="1196" priority="16" operator="greaterThan">
      <formula>10</formula>
    </cfRule>
    <cfRule type="cellIs" dxfId="1195" priority="17" operator="greaterThan">
      <formula>0</formula>
    </cfRule>
  </conditionalFormatting>
  <conditionalFormatting sqref="D13">
    <cfRule type="cellIs" dxfId="1194" priority="12" operator="greaterThan">
      <formula>0</formula>
    </cfRule>
    <cfRule type="cellIs" dxfId="1193" priority="13" operator="greaterThan">
      <formula>10</formula>
    </cfRule>
    <cfRule type="cellIs" dxfId="1192" priority="14" operator="greaterThan">
      <formula>0</formula>
    </cfRule>
  </conditionalFormatting>
  <conditionalFormatting sqref="D56">
    <cfRule type="cellIs" dxfId="1191" priority="9" operator="greaterThan">
      <formula>0</formula>
    </cfRule>
    <cfRule type="cellIs" dxfId="1190" priority="10" operator="greaterThan">
      <formula>10</formula>
    </cfRule>
    <cfRule type="cellIs" dxfId="1189" priority="11" operator="greaterThan">
      <formula>0</formula>
    </cfRule>
  </conditionalFormatting>
  <conditionalFormatting sqref="D14">
    <cfRule type="cellIs" dxfId="1188" priority="6" operator="greaterThan">
      <formula>0</formula>
    </cfRule>
    <cfRule type="cellIs" dxfId="1187" priority="7" operator="greaterThan">
      <formula>10</formula>
    </cfRule>
    <cfRule type="cellIs" dxfId="1186" priority="8" operator="greaterThan">
      <formula>0</formula>
    </cfRule>
  </conditionalFormatting>
  <conditionalFormatting sqref="I12:I73">
    <cfRule type="cellIs" dxfId="1185" priority="5" operator="equal">
      <formula>$G12</formula>
    </cfRule>
  </conditionalFormatting>
  <conditionalFormatting sqref="I12:I73">
    <cfRule type="cellIs" dxfId="1184" priority="4" operator="greaterThan">
      <formula>$G12</formula>
    </cfRule>
  </conditionalFormatting>
  <conditionalFormatting sqref="D62">
    <cfRule type="cellIs" dxfId="1183" priority="1" operator="greaterThan">
      <formula>0</formula>
    </cfRule>
    <cfRule type="cellIs" dxfId="1182" priority="2" operator="greaterThan">
      <formula>10</formula>
    </cfRule>
    <cfRule type="cellIs" dxfId="1181" priority="3" operator="greaterThan">
      <formula>0</formula>
    </cfRule>
  </conditionalFormatting>
  <pageMargins left="0.7" right="0.7" top="0.75" bottom="0.75" header="0.3" footer="0.3"/>
  <pageSetup paperSize="9" scale="38" fitToHeight="0" orientation="portrait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76"/>
  <sheetViews>
    <sheetView topLeftCell="A41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7.85546875" bestFit="1" customWidth="1"/>
    <col min="4" max="4" width="17.140625" bestFit="1" customWidth="1"/>
    <col min="5" max="5" width="27" bestFit="1" customWidth="1"/>
    <col min="6" max="6" width="31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autoFilter ref="A11:F74" xr:uid="{90CDE42D-1568-4CC8-BA94-D2F5783CCF0E}"/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63:D74 E12:E73">
    <cfRule type="cellIs" dxfId="1180" priority="83" operator="greaterThan">
      <formula>0</formula>
    </cfRule>
    <cfRule type="cellIs" dxfId="1179" priority="84" operator="greaterThan">
      <formula>10</formula>
    </cfRule>
    <cfRule type="cellIs" dxfId="1178" priority="85" operator="greaterThan">
      <formula>0</formula>
    </cfRule>
  </conditionalFormatting>
  <conditionalFormatting sqref="D12 D42:D44 D39:D40 D36:D37 D15:D34">
    <cfRule type="cellIs" dxfId="1177" priority="50" operator="greaterThan">
      <formula>0</formula>
    </cfRule>
    <cfRule type="cellIs" dxfId="1176" priority="51" operator="greaterThan">
      <formula>10</formula>
    </cfRule>
    <cfRule type="cellIs" dxfId="1175" priority="52" operator="greaterThan">
      <formula>0</formula>
    </cfRule>
  </conditionalFormatting>
  <conditionalFormatting sqref="D41">
    <cfRule type="cellIs" dxfId="1174" priority="32" operator="greaterThan">
      <formula>0</formula>
    </cfRule>
    <cfRule type="cellIs" dxfId="1173" priority="33" operator="greaterThan">
      <formula>10</formula>
    </cfRule>
    <cfRule type="cellIs" dxfId="1172" priority="34" operator="greaterThan">
      <formula>0</formula>
    </cfRule>
  </conditionalFormatting>
  <conditionalFormatting sqref="D38">
    <cfRule type="cellIs" dxfId="1171" priority="29" operator="greaterThan">
      <formula>0</formula>
    </cfRule>
    <cfRule type="cellIs" dxfId="1170" priority="30" operator="greaterThan">
      <formula>10</formula>
    </cfRule>
    <cfRule type="cellIs" dxfId="1169" priority="31" operator="greaterThan">
      <formula>0</formula>
    </cfRule>
  </conditionalFormatting>
  <conditionalFormatting sqref="D35">
    <cfRule type="cellIs" dxfId="1168" priority="20" operator="greaterThan">
      <formula>0</formula>
    </cfRule>
    <cfRule type="cellIs" dxfId="1167" priority="21" operator="greaterThan">
      <formula>10</formula>
    </cfRule>
    <cfRule type="cellIs" dxfId="1166" priority="22" operator="greaterThan">
      <formula>0</formula>
    </cfRule>
  </conditionalFormatting>
  <conditionalFormatting sqref="D45:D61">
    <cfRule type="cellIs" dxfId="1165" priority="17" operator="greaterThan">
      <formula>0</formula>
    </cfRule>
    <cfRule type="cellIs" dxfId="1164" priority="18" operator="greaterThan">
      <formula>10</formula>
    </cfRule>
    <cfRule type="cellIs" dxfId="1163" priority="19" operator="greaterThan">
      <formula>0</formula>
    </cfRule>
  </conditionalFormatting>
  <conditionalFormatting sqref="D13">
    <cfRule type="cellIs" dxfId="1162" priority="14" operator="greaterThan">
      <formula>0</formula>
    </cfRule>
    <cfRule type="cellIs" dxfId="1161" priority="15" operator="greaterThan">
      <formula>10</formula>
    </cfRule>
    <cfRule type="cellIs" dxfId="1160" priority="16" operator="greaterThan">
      <formula>0</formula>
    </cfRule>
  </conditionalFormatting>
  <conditionalFormatting sqref="D56">
    <cfRule type="cellIs" dxfId="1159" priority="11" operator="greaterThan">
      <formula>0</formula>
    </cfRule>
    <cfRule type="cellIs" dxfId="1158" priority="12" operator="greaterThan">
      <formula>10</formula>
    </cfRule>
    <cfRule type="cellIs" dxfId="1157" priority="13" operator="greaterThan">
      <formula>0</formula>
    </cfRule>
  </conditionalFormatting>
  <conditionalFormatting sqref="D14">
    <cfRule type="cellIs" dxfId="1156" priority="8" operator="greaterThan">
      <formula>0</formula>
    </cfRule>
    <cfRule type="cellIs" dxfId="1155" priority="9" operator="greaterThan">
      <formula>10</formula>
    </cfRule>
    <cfRule type="cellIs" dxfId="1154" priority="10" operator="greaterThan">
      <formula>0</formula>
    </cfRule>
  </conditionalFormatting>
  <conditionalFormatting sqref="D62">
    <cfRule type="cellIs" dxfId="1153" priority="3" operator="greaterThan">
      <formula>0</formula>
    </cfRule>
    <cfRule type="cellIs" dxfId="1152" priority="4" operator="greaterThan">
      <formula>10</formula>
    </cfRule>
    <cfRule type="cellIs" dxfId="1151" priority="5" operator="greaterThan">
      <formula>0</formula>
    </cfRule>
  </conditionalFormatting>
  <conditionalFormatting sqref="I12:I73">
    <cfRule type="cellIs" dxfId="1150" priority="2" operator="equal">
      <formula>$G12</formula>
    </cfRule>
  </conditionalFormatting>
  <conditionalFormatting sqref="I12:I73">
    <cfRule type="cellIs" dxfId="1149" priority="1" operator="greaterThan">
      <formula>$G12</formula>
    </cfRule>
  </conditionalFormatting>
  <pageMargins left="0.7" right="0.7" top="0.75" bottom="0.75" header="0.3" footer="0.3"/>
  <pageSetup paperSize="9" scale="43" fitToHeight="0" orientation="portrait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76"/>
  <sheetViews>
    <sheetView topLeftCell="A49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63:D74 E12:E73">
    <cfRule type="cellIs" dxfId="1148" priority="76" operator="greaterThan">
      <formula>0</formula>
    </cfRule>
    <cfRule type="cellIs" dxfId="1147" priority="77" operator="greaterThan">
      <formula>10</formula>
    </cfRule>
    <cfRule type="cellIs" dxfId="1146" priority="78" operator="greaterThan">
      <formula>0</formula>
    </cfRule>
  </conditionalFormatting>
  <conditionalFormatting sqref="D12 D42:D44 D39:D40 D36:D37 D15:D34">
    <cfRule type="cellIs" dxfId="1145" priority="43" operator="greaterThan">
      <formula>0</formula>
    </cfRule>
    <cfRule type="cellIs" dxfId="1144" priority="44" operator="greaterThan">
      <formula>10</formula>
    </cfRule>
    <cfRule type="cellIs" dxfId="1143" priority="45" operator="greaterThan">
      <formula>0</formula>
    </cfRule>
  </conditionalFormatting>
  <conditionalFormatting sqref="D41">
    <cfRule type="cellIs" dxfId="1142" priority="25" operator="greaterThan">
      <formula>0</formula>
    </cfRule>
    <cfRule type="cellIs" dxfId="1141" priority="26" operator="greaterThan">
      <formula>10</formula>
    </cfRule>
    <cfRule type="cellIs" dxfId="1140" priority="27" operator="greaterThan">
      <formula>0</formula>
    </cfRule>
  </conditionalFormatting>
  <conditionalFormatting sqref="D38">
    <cfRule type="cellIs" dxfId="1139" priority="22" operator="greaterThan">
      <formula>0</formula>
    </cfRule>
    <cfRule type="cellIs" dxfId="1138" priority="23" operator="greaterThan">
      <formula>10</formula>
    </cfRule>
    <cfRule type="cellIs" dxfId="1137" priority="24" operator="greaterThan">
      <formula>0</formula>
    </cfRule>
  </conditionalFormatting>
  <conditionalFormatting sqref="D35">
    <cfRule type="cellIs" dxfId="1136" priority="16" operator="greaterThan">
      <formula>0</formula>
    </cfRule>
    <cfRule type="cellIs" dxfId="1135" priority="17" operator="greaterThan">
      <formula>10</formula>
    </cfRule>
    <cfRule type="cellIs" dxfId="1134" priority="18" operator="greaterThan">
      <formula>0</formula>
    </cfRule>
  </conditionalFormatting>
  <conditionalFormatting sqref="D45:D61">
    <cfRule type="cellIs" dxfId="1133" priority="13" operator="greaterThan">
      <formula>0</formula>
    </cfRule>
    <cfRule type="cellIs" dxfId="1132" priority="14" operator="greaterThan">
      <formula>10</formula>
    </cfRule>
    <cfRule type="cellIs" dxfId="1131" priority="15" operator="greaterThan">
      <formula>0</formula>
    </cfRule>
  </conditionalFormatting>
  <conditionalFormatting sqref="D13">
    <cfRule type="cellIs" dxfId="1130" priority="10" operator="greaterThan">
      <formula>0</formula>
    </cfRule>
    <cfRule type="cellIs" dxfId="1129" priority="11" operator="greaterThan">
      <formula>10</formula>
    </cfRule>
    <cfRule type="cellIs" dxfId="1128" priority="12" operator="greaterThan">
      <formula>0</formula>
    </cfRule>
  </conditionalFormatting>
  <conditionalFormatting sqref="D56">
    <cfRule type="cellIs" dxfId="1127" priority="7" operator="greaterThan">
      <formula>0</formula>
    </cfRule>
    <cfRule type="cellIs" dxfId="1126" priority="8" operator="greaterThan">
      <formula>10</formula>
    </cfRule>
    <cfRule type="cellIs" dxfId="1125" priority="9" operator="greaterThan">
      <formula>0</formula>
    </cfRule>
  </conditionalFormatting>
  <conditionalFormatting sqref="D14">
    <cfRule type="cellIs" dxfId="1124" priority="4" operator="greaterThan">
      <formula>0</formula>
    </cfRule>
    <cfRule type="cellIs" dxfId="1123" priority="5" operator="greaterThan">
      <formula>10</formula>
    </cfRule>
    <cfRule type="cellIs" dxfId="1122" priority="6" operator="greaterThan">
      <formula>0</formula>
    </cfRule>
  </conditionalFormatting>
  <conditionalFormatting sqref="D62">
    <cfRule type="cellIs" dxfId="1121" priority="1" operator="greaterThan">
      <formula>0</formula>
    </cfRule>
    <cfRule type="cellIs" dxfId="1120" priority="2" operator="greaterThan">
      <formula>10</formula>
    </cfRule>
    <cfRule type="cellIs" dxfId="1119" priority="3" operator="greaterThan">
      <formula>0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76"/>
  <sheetViews>
    <sheetView topLeftCell="A63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63:D74 E12:E73">
    <cfRule type="cellIs" dxfId="1118" priority="88" operator="greaterThan">
      <formula>0</formula>
    </cfRule>
    <cfRule type="cellIs" dxfId="1117" priority="89" operator="greaterThan">
      <formula>10</formula>
    </cfRule>
    <cfRule type="cellIs" dxfId="1116" priority="90" operator="greaterThan">
      <formula>0</formula>
    </cfRule>
  </conditionalFormatting>
  <conditionalFormatting sqref="D12 D42:D44 D39:D40 D36:D37 D15:D34">
    <cfRule type="cellIs" dxfId="1115" priority="43" operator="greaterThan">
      <formula>0</formula>
    </cfRule>
    <cfRule type="cellIs" dxfId="1114" priority="44" operator="greaterThan">
      <formula>10</formula>
    </cfRule>
    <cfRule type="cellIs" dxfId="1113" priority="45" operator="greaterThan">
      <formula>0</formula>
    </cfRule>
  </conditionalFormatting>
  <conditionalFormatting sqref="D41">
    <cfRule type="cellIs" dxfId="1112" priority="25" operator="greaterThan">
      <formula>0</formula>
    </cfRule>
    <cfRule type="cellIs" dxfId="1111" priority="26" operator="greaterThan">
      <formula>10</formula>
    </cfRule>
    <cfRule type="cellIs" dxfId="1110" priority="27" operator="greaterThan">
      <formula>0</formula>
    </cfRule>
  </conditionalFormatting>
  <conditionalFormatting sqref="D38">
    <cfRule type="cellIs" dxfId="1109" priority="22" operator="greaterThan">
      <formula>0</formula>
    </cfRule>
    <cfRule type="cellIs" dxfId="1108" priority="23" operator="greaterThan">
      <formula>10</formula>
    </cfRule>
    <cfRule type="cellIs" dxfId="1107" priority="24" operator="greaterThan">
      <formula>0</formula>
    </cfRule>
  </conditionalFormatting>
  <conditionalFormatting sqref="D35">
    <cfRule type="cellIs" dxfId="1106" priority="16" operator="greaterThan">
      <formula>0</formula>
    </cfRule>
    <cfRule type="cellIs" dxfId="1105" priority="17" operator="greaterThan">
      <formula>10</formula>
    </cfRule>
    <cfRule type="cellIs" dxfId="1104" priority="18" operator="greaterThan">
      <formula>0</formula>
    </cfRule>
  </conditionalFormatting>
  <conditionalFormatting sqref="D45:D61">
    <cfRule type="cellIs" dxfId="1103" priority="13" operator="greaterThan">
      <formula>0</formula>
    </cfRule>
    <cfRule type="cellIs" dxfId="1102" priority="14" operator="greaterThan">
      <formula>10</formula>
    </cfRule>
    <cfRule type="cellIs" dxfId="1101" priority="15" operator="greaterThan">
      <formula>0</formula>
    </cfRule>
  </conditionalFormatting>
  <conditionalFormatting sqref="D13">
    <cfRule type="cellIs" dxfId="1100" priority="10" operator="greaterThan">
      <formula>0</formula>
    </cfRule>
    <cfRule type="cellIs" dxfId="1099" priority="11" operator="greaterThan">
      <formula>10</formula>
    </cfRule>
    <cfRule type="cellIs" dxfId="1098" priority="12" operator="greaterThan">
      <formula>0</formula>
    </cfRule>
  </conditionalFormatting>
  <conditionalFormatting sqref="D56">
    <cfRule type="cellIs" dxfId="1097" priority="7" operator="greaterThan">
      <formula>0</formula>
    </cfRule>
    <cfRule type="cellIs" dxfId="1096" priority="8" operator="greaterThan">
      <formula>10</formula>
    </cfRule>
    <cfRule type="cellIs" dxfId="1095" priority="9" operator="greaterThan">
      <formula>0</formula>
    </cfRule>
  </conditionalFormatting>
  <conditionalFormatting sqref="D14">
    <cfRule type="cellIs" dxfId="1094" priority="4" operator="greaterThan">
      <formula>0</formula>
    </cfRule>
    <cfRule type="cellIs" dxfId="1093" priority="5" operator="greaterThan">
      <formula>10</formula>
    </cfRule>
    <cfRule type="cellIs" dxfId="1092" priority="6" operator="greaterThan">
      <formula>0</formula>
    </cfRule>
  </conditionalFormatting>
  <conditionalFormatting sqref="D62">
    <cfRule type="cellIs" dxfId="1091" priority="1" operator="greaterThan">
      <formula>0</formula>
    </cfRule>
    <cfRule type="cellIs" dxfId="1090" priority="2" operator="greaterThan">
      <formula>10</formula>
    </cfRule>
    <cfRule type="cellIs" dxfId="1089" priority="3" operator="greaterThan">
      <formula>0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76"/>
  <sheetViews>
    <sheetView topLeftCell="A63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3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8"/>
      <c r="F9" s="48"/>
    </row>
    <row r="10" spans="1:9" x14ac:dyDescent="0.25">
      <c r="B10" s="25" t="s">
        <v>25</v>
      </c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6">
    <mergeCell ref="B74:C74"/>
    <mergeCell ref="E9:F9"/>
    <mergeCell ref="A1:F1"/>
    <mergeCell ref="A2:F2"/>
    <mergeCell ref="A3:F3"/>
    <mergeCell ref="A5:F5"/>
  </mergeCells>
  <conditionalFormatting sqref="D63:D74 E12:E73">
    <cfRule type="cellIs" dxfId="1088" priority="82" operator="greaterThan">
      <formula>0</formula>
    </cfRule>
    <cfRule type="cellIs" dxfId="1087" priority="83" operator="greaterThan">
      <formula>10</formula>
    </cfRule>
    <cfRule type="cellIs" dxfId="1086" priority="84" operator="greaterThan">
      <formula>0</formula>
    </cfRule>
  </conditionalFormatting>
  <conditionalFormatting sqref="D12 D42:D44 D39:D40 D36:D37 D18:D34 D15:D16">
    <cfRule type="cellIs" dxfId="1085" priority="49" operator="greaterThan">
      <formula>0</formula>
    </cfRule>
    <cfRule type="cellIs" dxfId="1084" priority="50" operator="greaterThan">
      <formula>10</formula>
    </cfRule>
    <cfRule type="cellIs" dxfId="1083" priority="51" operator="greaterThan">
      <formula>0</formula>
    </cfRule>
  </conditionalFormatting>
  <conditionalFormatting sqref="D41">
    <cfRule type="cellIs" dxfId="1082" priority="31" operator="greaterThan">
      <formula>0</formula>
    </cfRule>
    <cfRule type="cellIs" dxfId="1081" priority="32" operator="greaterThan">
      <formula>10</formula>
    </cfRule>
    <cfRule type="cellIs" dxfId="1080" priority="33" operator="greaterThan">
      <formula>0</formula>
    </cfRule>
  </conditionalFormatting>
  <conditionalFormatting sqref="D38">
    <cfRule type="cellIs" dxfId="1079" priority="28" operator="greaterThan">
      <formula>0</formula>
    </cfRule>
    <cfRule type="cellIs" dxfId="1078" priority="29" operator="greaterThan">
      <formula>10</formula>
    </cfRule>
    <cfRule type="cellIs" dxfId="1077" priority="30" operator="greaterThan">
      <formula>0</formula>
    </cfRule>
  </conditionalFormatting>
  <conditionalFormatting sqref="D35">
    <cfRule type="cellIs" dxfId="1076" priority="19" operator="greaterThan">
      <formula>0</formula>
    </cfRule>
    <cfRule type="cellIs" dxfId="1075" priority="20" operator="greaterThan">
      <formula>10</formula>
    </cfRule>
    <cfRule type="cellIs" dxfId="1074" priority="21" operator="greaterThan">
      <formula>0</formula>
    </cfRule>
  </conditionalFormatting>
  <conditionalFormatting sqref="D45:D61">
    <cfRule type="cellIs" dxfId="1073" priority="16" operator="greaterThan">
      <formula>0</formula>
    </cfRule>
    <cfRule type="cellIs" dxfId="1072" priority="17" operator="greaterThan">
      <formula>10</formula>
    </cfRule>
    <cfRule type="cellIs" dxfId="1071" priority="18" operator="greaterThan">
      <formula>0</formula>
    </cfRule>
  </conditionalFormatting>
  <conditionalFormatting sqref="D17">
    <cfRule type="cellIs" dxfId="1070" priority="13" operator="greaterThan">
      <formula>0</formula>
    </cfRule>
    <cfRule type="cellIs" dxfId="1069" priority="14" operator="greaterThan">
      <formula>10</formula>
    </cfRule>
    <cfRule type="cellIs" dxfId="1068" priority="15" operator="greaterThan">
      <formula>0</formula>
    </cfRule>
  </conditionalFormatting>
  <conditionalFormatting sqref="D13">
    <cfRule type="cellIs" dxfId="1067" priority="10" operator="greaterThan">
      <formula>0</formula>
    </cfRule>
    <cfRule type="cellIs" dxfId="1066" priority="11" operator="greaterThan">
      <formula>10</formula>
    </cfRule>
    <cfRule type="cellIs" dxfId="1065" priority="12" operator="greaterThan">
      <formula>0</formula>
    </cfRule>
  </conditionalFormatting>
  <conditionalFormatting sqref="D56">
    <cfRule type="cellIs" dxfId="1064" priority="7" operator="greaterThan">
      <formula>0</formula>
    </cfRule>
    <cfRule type="cellIs" dxfId="1063" priority="8" operator="greaterThan">
      <formula>10</formula>
    </cfRule>
    <cfRule type="cellIs" dxfId="1062" priority="9" operator="greaterThan">
      <formula>0</formula>
    </cfRule>
  </conditionalFormatting>
  <conditionalFormatting sqref="D14">
    <cfRule type="cellIs" dxfId="1061" priority="4" operator="greaterThan">
      <formula>0</formula>
    </cfRule>
    <cfRule type="cellIs" dxfId="1060" priority="5" operator="greaterThan">
      <formula>10</formula>
    </cfRule>
    <cfRule type="cellIs" dxfId="1059" priority="6" operator="greaterThan">
      <formula>0</formula>
    </cfRule>
  </conditionalFormatting>
  <conditionalFormatting sqref="D62">
    <cfRule type="cellIs" dxfId="1058" priority="1" operator="greaterThan">
      <formula>0</formula>
    </cfRule>
    <cfRule type="cellIs" dxfId="1057" priority="2" operator="greaterThan">
      <formula>10</formula>
    </cfRule>
    <cfRule type="cellIs" dxfId="1056" priority="3" operator="greaterThan">
      <formula>0</formula>
    </cfRule>
  </conditionalFormatting>
  <pageMargins left="0.7" right="0.7" top="0.75" bottom="0.75" header="0.3" footer="0.3"/>
  <pageSetup paperSize="9" scale="43" fitToHeight="0" orientation="portrait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76"/>
  <sheetViews>
    <sheetView topLeftCell="A67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26.25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26.25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26.25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26.25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26.25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26.25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26.25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26.25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26.25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26.25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26.25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26.25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26.25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26.25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26.25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26.25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26.25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26.25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26.25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26.25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26.25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26.25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26.25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26.25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26.25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26.25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26.25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26.25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26.25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26.25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26.25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26.25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26.25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26.25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26.25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26.25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26.25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26.25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26.25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26.25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26.25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26.25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26.25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26.25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26.25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63:D74 E12:E73">
    <cfRule type="cellIs" dxfId="1055" priority="85" operator="greaterThan">
      <formula>0</formula>
    </cfRule>
    <cfRule type="cellIs" dxfId="1054" priority="86" operator="greaterThan">
      <formula>10</formula>
    </cfRule>
    <cfRule type="cellIs" dxfId="1053" priority="87" operator="greaterThan">
      <formula>0</formula>
    </cfRule>
  </conditionalFormatting>
  <conditionalFormatting sqref="D12 D42:D44 D39:D40 D36:D37 D15:D34">
    <cfRule type="cellIs" dxfId="1052" priority="43" operator="greaterThan">
      <formula>0</formula>
    </cfRule>
    <cfRule type="cellIs" dxfId="1051" priority="44" operator="greaterThan">
      <formula>10</formula>
    </cfRule>
    <cfRule type="cellIs" dxfId="1050" priority="45" operator="greaterThan">
      <formula>0</formula>
    </cfRule>
  </conditionalFormatting>
  <conditionalFormatting sqref="D41">
    <cfRule type="cellIs" dxfId="1049" priority="25" operator="greaterThan">
      <formula>0</formula>
    </cfRule>
    <cfRule type="cellIs" dxfId="1048" priority="26" operator="greaterThan">
      <formula>10</formula>
    </cfRule>
    <cfRule type="cellIs" dxfId="1047" priority="27" operator="greaterThan">
      <formula>0</formula>
    </cfRule>
  </conditionalFormatting>
  <conditionalFormatting sqref="D38">
    <cfRule type="cellIs" dxfId="1046" priority="22" operator="greaterThan">
      <formula>0</formula>
    </cfRule>
    <cfRule type="cellIs" dxfId="1045" priority="23" operator="greaterThan">
      <formula>10</formula>
    </cfRule>
    <cfRule type="cellIs" dxfId="1044" priority="24" operator="greaterThan">
      <formula>0</formula>
    </cfRule>
  </conditionalFormatting>
  <conditionalFormatting sqref="D35">
    <cfRule type="cellIs" dxfId="1043" priority="16" operator="greaterThan">
      <formula>0</formula>
    </cfRule>
    <cfRule type="cellIs" dxfId="1042" priority="17" operator="greaterThan">
      <formula>10</formula>
    </cfRule>
    <cfRule type="cellIs" dxfId="1041" priority="18" operator="greaterThan">
      <formula>0</formula>
    </cfRule>
  </conditionalFormatting>
  <conditionalFormatting sqref="D45:D61">
    <cfRule type="cellIs" dxfId="1040" priority="13" operator="greaterThan">
      <formula>0</formula>
    </cfRule>
    <cfRule type="cellIs" dxfId="1039" priority="14" operator="greaterThan">
      <formula>10</formula>
    </cfRule>
    <cfRule type="cellIs" dxfId="1038" priority="15" operator="greaterThan">
      <formula>0</formula>
    </cfRule>
  </conditionalFormatting>
  <conditionalFormatting sqref="D13">
    <cfRule type="cellIs" dxfId="1037" priority="10" operator="greaterThan">
      <formula>0</formula>
    </cfRule>
    <cfRule type="cellIs" dxfId="1036" priority="11" operator="greaterThan">
      <formula>10</formula>
    </cfRule>
    <cfRule type="cellIs" dxfId="1035" priority="12" operator="greaterThan">
      <formula>0</formula>
    </cfRule>
  </conditionalFormatting>
  <conditionalFormatting sqref="D56">
    <cfRule type="cellIs" dxfId="1034" priority="7" operator="greaterThan">
      <formula>0</formula>
    </cfRule>
    <cfRule type="cellIs" dxfId="1033" priority="8" operator="greaterThan">
      <formula>10</formula>
    </cfRule>
    <cfRule type="cellIs" dxfId="1032" priority="9" operator="greaterThan">
      <formula>0</formula>
    </cfRule>
  </conditionalFormatting>
  <conditionalFormatting sqref="D14">
    <cfRule type="cellIs" dxfId="1031" priority="4" operator="greaterThan">
      <formula>0</formula>
    </cfRule>
    <cfRule type="cellIs" dxfId="1030" priority="5" operator="greaterThan">
      <formula>10</formula>
    </cfRule>
    <cfRule type="cellIs" dxfId="1029" priority="6" operator="greaterThan">
      <formula>0</formula>
    </cfRule>
  </conditionalFormatting>
  <conditionalFormatting sqref="D62">
    <cfRule type="cellIs" dxfId="1028" priority="1" operator="greaterThan">
      <formula>0</formula>
    </cfRule>
    <cfRule type="cellIs" dxfId="1027" priority="2" operator="greaterThan">
      <formula>10</formula>
    </cfRule>
    <cfRule type="cellIs" dxfId="1026" priority="3" operator="greaterThan">
      <formula>0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76"/>
  <sheetViews>
    <sheetView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autoFilter ref="A11:I76" xr:uid="{9CDFAA64-449E-439C-BDFE-ABB90A358004}"/>
  <mergeCells count="7">
    <mergeCell ref="B74:C74"/>
    <mergeCell ref="E7:F7"/>
    <mergeCell ref="E9:F9"/>
    <mergeCell ref="A1:F1"/>
    <mergeCell ref="A2:F2"/>
    <mergeCell ref="A3:F3"/>
    <mergeCell ref="A5:F5"/>
  </mergeCells>
  <conditionalFormatting sqref="D63:D74 E12:E73">
    <cfRule type="cellIs" dxfId="1025" priority="79" operator="greaterThan">
      <formula>0</formula>
    </cfRule>
    <cfRule type="cellIs" dxfId="1024" priority="80" operator="greaterThan">
      <formula>10</formula>
    </cfRule>
    <cfRule type="cellIs" dxfId="1023" priority="81" operator="greaterThan">
      <formula>0</formula>
    </cfRule>
  </conditionalFormatting>
  <conditionalFormatting sqref="D12 D42:D44 D39:D40 D36:D37 D18:D34 D15:D16">
    <cfRule type="cellIs" dxfId="1022" priority="46" operator="greaterThan">
      <formula>0</formula>
    </cfRule>
    <cfRule type="cellIs" dxfId="1021" priority="47" operator="greaterThan">
      <formula>10</formula>
    </cfRule>
    <cfRule type="cellIs" dxfId="1020" priority="48" operator="greaterThan">
      <formula>0</formula>
    </cfRule>
  </conditionalFormatting>
  <conditionalFormatting sqref="D41">
    <cfRule type="cellIs" dxfId="1019" priority="28" operator="greaterThan">
      <formula>0</formula>
    </cfRule>
    <cfRule type="cellIs" dxfId="1018" priority="29" operator="greaterThan">
      <formula>10</formula>
    </cfRule>
    <cfRule type="cellIs" dxfId="1017" priority="30" operator="greaterThan">
      <formula>0</formula>
    </cfRule>
  </conditionalFormatting>
  <conditionalFormatting sqref="D38">
    <cfRule type="cellIs" dxfId="1016" priority="25" operator="greaterThan">
      <formula>0</formula>
    </cfRule>
    <cfRule type="cellIs" dxfId="1015" priority="26" operator="greaterThan">
      <formula>10</formula>
    </cfRule>
    <cfRule type="cellIs" dxfId="1014" priority="27" operator="greaterThan">
      <formula>0</formula>
    </cfRule>
  </conditionalFormatting>
  <conditionalFormatting sqref="D35">
    <cfRule type="cellIs" dxfId="1013" priority="19" operator="greaterThan">
      <formula>0</formula>
    </cfRule>
    <cfRule type="cellIs" dxfId="1012" priority="20" operator="greaterThan">
      <formula>10</formula>
    </cfRule>
    <cfRule type="cellIs" dxfId="1011" priority="21" operator="greaterThan">
      <formula>0</formula>
    </cfRule>
  </conditionalFormatting>
  <conditionalFormatting sqref="D45:D61">
    <cfRule type="cellIs" dxfId="1010" priority="16" operator="greaterThan">
      <formula>0</formula>
    </cfRule>
    <cfRule type="cellIs" dxfId="1009" priority="17" operator="greaterThan">
      <formula>10</formula>
    </cfRule>
    <cfRule type="cellIs" dxfId="1008" priority="18" operator="greaterThan">
      <formula>0</formula>
    </cfRule>
  </conditionalFormatting>
  <conditionalFormatting sqref="D17">
    <cfRule type="cellIs" dxfId="1007" priority="13" operator="greaterThan">
      <formula>0</formula>
    </cfRule>
    <cfRule type="cellIs" dxfId="1006" priority="14" operator="greaterThan">
      <formula>10</formula>
    </cfRule>
    <cfRule type="cellIs" dxfId="1005" priority="15" operator="greaterThan">
      <formula>0</formula>
    </cfRule>
  </conditionalFormatting>
  <conditionalFormatting sqref="D13">
    <cfRule type="cellIs" dxfId="1004" priority="10" operator="greaterThan">
      <formula>0</formula>
    </cfRule>
    <cfRule type="cellIs" dxfId="1003" priority="11" operator="greaterThan">
      <formula>10</formula>
    </cfRule>
    <cfRule type="cellIs" dxfId="1002" priority="12" operator="greaterThan">
      <formula>0</formula>
    </cfRule>
  </conditionalFormatting>
  <conditionalFormatting sqref="D56">
    <cfRule type="cellIs" dxfId="1001" priority="7" operator="greaterThan">
      <formula>0</formula>
    </cfRule>
    <cfRule type="cellIs" dxfId="1000" priority="8" operator="greaterThan">
      <formula>10</formula>
    </cfRule>
    <cfRule type="cellIs" dxfId="999" priority="9" operator="greaterThan">
      <formula>0</formula>
    </cfRule>
  </conditionalFormatting>
  <conditionalFormatting sqref="D14">
    <cfRule type="cellIs" dxfId="998" priority="4" operator="greaterThan">
      <formula>0</formula>
    </cfRule>
    <cfRule type="cellIs" dxfId="997" priority="5" operator="greaterThan">
      <formula>10</formula>
    </cfRule>
    <cfRule type="cellIs" dxfId="996" priority="6" operator="greaterThan">
      <formula>0</formula>
    </cfRule>
  </conditionalFormatting>
  <conditionalFormatting sqref="D62">
    <cfRule type="cellIs" dxfId="995" priority="1" operator="greaterThan">
      <formula>0</formula>
    </cfRule>
    <cfRule type="cellIs" dxfId="994" priority="2" operator="greaterThan">
      <formula>10</formula>
    </cfRule>
    <cfRule type="cellIs" dxfId="993" priority="3" operator="greaterThan">
      <formula>0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76"/>
  <sheetViews>
    <sheetView topLeftCell="A62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26.25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26.25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26.25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26.25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26.25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26.25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26.25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26.25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26.25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26.25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26.25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26.25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26.25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26.25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26.25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26.25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26.25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26.25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26.25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26.25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26.25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26.25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26.25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26.25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26.25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26.25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26.25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26.25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26.25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26.25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26.25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26.25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26.25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26.25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26.25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26.25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26.25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26.25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26.25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26.25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26.25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26.25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26.25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26.25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26.25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26.25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24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63:D74 E12:E73">
    <cfRule type="cellIs" dxfId="992" priority="76" operator="greaterThan">
      <formula>0</formula>
    </cfRule>
    <cfRule type="cellIs" dxfId="991" priority="77" operator="greaterThan">
      <formula>10</formula>
    </cfRule>
    <cfRule type="cellIs" dxfId="990" priority="78" operator="greaterThan">
      <formula>0</formula>
    </cfRule>
  </conditionalFormatting>
  <conditionalFormatting sqref="D12 D42:D44 D39:D40 D36:D37 D15:D34">
    <cfRule type="cellIs" dxfId="989" priority="43" operator="greaterThan">
      <formula>0</formula>
    </cfRule>
    <cfRule type="cellIs" dxfId="988" priority="44" operator="greaterThan">
      <formula>10</formula>
    </cfRule>
    <cfRule type="cellIs" dxfId="987" priority="45" operator="greaterThan">
      <formula>0</formula>
    </cfRule>
  </conditionalFormatting>
  <conditionalFormatting sqref="D41">
    <cfRule type="cellIs" dxfId="986" priority="25" operator="greaterThan">
      <formula>0</formula>
    </cfRule>
    <cfRule type="cellIs" dxfId="985" priority="26" operator="greaterThan">
      <formula>10</formula>
    </cfRule>
    <cfRule type="cellIs" dxfId="984" priority="27" operator="greaterThan">
      <formula>0</formula>
    </cfRule>
  </conditionalFormatting>
  <conditionalFormatting sqref="D38">
    <cfRule type="cellIs" dxfId="983" priority="22" operator="greaterThan">
      <formula>0</formula>
    </cfRule>
    <cfRule type="cellIs" dxfId="982" priority="23" operator="greaterThan">
      <formula>10</formula>
    </cfRule>
    <cfRule type="cellIs" dxfId="981" priority="24" operator="greaterThan">
      <formula>0</formula>
    </cfRule>
  </conditionalFormatting>
  <conditionalFormatting sqref="D35">
    <cfRule type="cellIs" dxfId="980" priority="16" operator="greaterThan">
      <formula>0</formula>
    </cfRule>
    <cfRule type="cellIs" dxfId="979" priority="17" operator="greaterThan">
      <formula>10</formula>
    </cfRule>
    <cfRule type="cellIs" dxfId="978" priority="18" operator="greaterThan">
      <formula>0</formula>
    </cfRule>
  </conditionalFormatting>
  <conditionalFormatting sqref="D45:D61">
    <cfRule type="cellIs" dxfId="977" priority="13" operator="greaterThan">
      <formula>0</formula>
    </cfRule>
    <cfRule type="cellIs" dxfId="976" priority="14" operator="greaterThan">
      <formula>10</formula>
    </cfRule>
    <cfRule type="cellIs" dxfId="975" priority="15" operator="greaterThan">
      <formula>0</formula>
    </cfRule>
  </conditionalFormatting>
  <conditionalFormatting sqref="D13">
    <cfRule type="cellIs" dxfId="974" priority="10" operator="greaterThan">
      <formula>0</formula>
    </cfRule>
    <cfRule type="cellIs" dxfId="973" priority="11" operator="greaterThan">
      <formula>10</formula>
    </cfRule>
    <cfRule type="cellIs" dxfId="972" priority="12" operator="greaterThan">
      <formula>0</formula>
    </cfRule>
  </conditionalFormatting>
  <conditionalFormatting sqref="D56">
    <cfRule type="cellIs" dxfId="971" priority="7" operator="greaterThan">
      <formula>0</formula>
    </cfRule>
    <cfRule type="cellIs" dxfId="970" priority="8" operator="greaterThan">
      <formula>10</formula>
    </cfRule>
    <cfRule type="cellIs" dxfId="969" priority="9" operator="greaterThan">
      <formula>0</formula>
    </cfRule>
  </conditionalFormatting>
  <conditionalFormatting sqref="D14">
    <cfRule type="cellIs" dxfId="968" priority="4" operator="greaterThan">
      <formula>0</formula>
    </cfRule>
    <cfRule type="cellIs" dxfId="967" priority="5" operator="greaterThan">
      <formula>10</formula>
    </cfRule>
    <cfRule type="cellIs" dxfId="966" priority="6" operator="greaterThan">
      <formula>0</formula>
    </cfRule>
  </conditionalFormatting>
  <conditionalFormatting sqref="D62">
    <cfRule type="cellIs" dxfId="965" priority="1" operator="greaterThan">
      <formula>0</formula>
    </cfRule>
    <cfRule type="cellIs" dxfId="964" priority="2" operator="greaterThan">
      <formula>10</formula>
    </cfRule>
    <cfRule type="cellIs" dxfId="963" priority="3" operator="greaterThan">
      <formula>0</formula>
    </cfRule>
  </conditionalFormatting>
  <pageMargins left="0.7" right="0.7" top="0.75" bottom="0.75" header="0.3" footer="0.3"/>
  <pageSetup paperSize="9" scale="46" fitToHeight="0" orientation="portrait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76"/>
  <sheetViews>
    <sheetView topLeftCell="A62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73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si="4"/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12">
        <v>4</v>
      </c>
      <c r="D61" s="19">
        <v>510</v>
      </c>
      <c r="E61" s="13"/>
      <c r="F61" s="6">
        <f t="shared" ref="F61:F65" si="5">C61*D61*E61</f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3"/>
      <c r="F64" s="6">
        <f t="shared" si="5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3"/>
      <c r="F65" s="6">
        <f t="shared" si="5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si="4"/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4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4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4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63:D74 E12:E73">
    <cfRule type="cellIs" dxfId="962" priority="79" operator="greaterThan">
      <formula>0</formula>
    </cfRule>
    <cfRule type="cellIs" dxfId="961" priority="80" operator="greaterThan">
      <formula>10</formula>
    </cfRule>
    <cfRule type="cellIs" dxfId="960" priority="81" operator="greaterThan">
      <formula>0</formula>
    </cfRule>
  </conditionalFormatting>
  <conditionalFormatting sqref="D12 D42:D44 D39:D40 D36:D37 D15:D34">
    <cfRule type="cellIs" dxfId="959" priority="46" operator="greaterThan">
      <formula>0</formula>
    </cfRule>
    <cfRule type="cellIs" dxfId="958" priority="47" operator="greaterThan">
      <formula>10</formula>
    </cfRule>
    <cfRule type="cellIs" dxfId="957" priority="48" operator="greaterThan">
      <formula>0</formula>
    </cfRule>
  </conditionalFormatting>
  <conditionalFormatting sqref="D41">
    <cfRule type="cellIs" dxfId="956" priority="28" operator="greaterThan">
      <formula>0</formula>
    </cfRule>
    <cfRule type="cellIs" dxfId="955" priority="29" operator="greaterThan">
      <formula>10</formula>
    </cfRule>
    <cfRule type="cellIs" dxfId="954" priority="30" operator="greaterThan">
      <formula>0</formula>
    </cfRule>
  </conditionalFormatting>
  <conditionalFormatting sqref="D38">
    <cfRule type="cellIs" dxfId="953" priority="25" operator="greaterThan">
      <formula>0</formula>
    </cfRule>
    <cfRule type="cellIs" dxfId="952" priority="26" operator="greaterThan">
      <formula>10</formula>
    </cfRule>
    <cfRule type="cellIs" dxfId="951" priority="27" operator="greaterThan">
      <formula>0</formula>
    </cfRule>
  </conditionalFormatting>
  <conditionalFormatting sqref="D35">
    <cfRule type="cellIs" dxfId="950" priority="19" operator="greaterThan">
      <formula>0</formula>
    </cfRule>
    <cfRule type="cellIs" dxfId="949" priority="20" operator="greaterThan">
      <formula>10</formula>
    </cfRule>
    <cfRule type="cellIs" dxfId="948" priority="21" operator="greaterThan">
      <formula>0</formula>
    </cfRule>
  </conditionalFormatting>
  <conditionalFormatting sqref="D45:D60">
    <cfRule type="cellIs" dxfId="947" priority="16" operator="greaterThan">
      <formula>0</formula>
    </cfRule>
    <cfRule type="cellIs" dxfId="946" priority="17" operator="greaterThan">
      <formula>10</formula>
    </cfRule>
    <cfRule type="cellIs" dxfId="945" priority="18" operator="greaterThan">
      <formula>0</formula>
    </cfRule>
  </conditionalFormatting>
  <conditionalFormatting sqref="D13">
    <cfRule type="cellIs" dxfId="944" priority="13" operator="greaterThan">
      <formula>0</formula>
    </cfRule>
    <cfRule type="cellIs" dxfId="943" priority="14" operator="greaterThan">
      <formula>10</formula>
    </cfRule>
    <cfRule type="cellIs" dxfId="942" priority="15" operator="greaterThan">
      <formula>0</formula>
    </cfRule>
  </conditionalFormatting>
  <conditionalFormatting sqref="D56">
    <cfRule type="cellIs" dxfId="941" priority="10" operator="greaterThan">
      <formula>0</formula>
    </cfRule>
    <cfRule type="cellIs" dxfId="940" priority="11" operator="greaterThan">
      <formula>10</formula>
    </cfRule>
    <cfRule type="cellIs" dxfId="939" priority="12" operator="greaterThan">
      <formula>0</formula>
    </cfRule>
  </conditionalFormatting>
  <conditionalFormatting sqref="D14">
    <cfRule type="cellIs" dxfId="938" priority="7" operator="greaterThan">
      <formula>0</formula>
    </cfRule>
    <cfRule type="cellIs" dxfId="937" priority="8" operator="greaterThan">
      <formula>10</formula>
    </cfRule>
    <cfRule type="cellIs" dxfId="936" priority="9" operator="greaterThan">
      <formula>0</formula>
    </cfRule>
  </conditionalFormatting>
  <conditionalFormatting sqref="D61">
    <cfRule type="cellIs" dxfId="935" priority="4" operator="greaterThan">
      <formula>0</formula>
    </cfRule>
    <cfRule type="cellIs" dxfId="934" priority="5" operator="greaterThan">
      <formula>10</formula>
    </cfRule>
    <cfRule type="cellIs" dxfId="933" priority="6" operator="greaterThan">
      <formula>0</formula>
    </cfRule>
  </conditionalFormatting>
  <conditionalFormatting sqref="D62">
    <cfRule type="cellIs" dxfId="932" priority="1" operator="greaterThan">
      <formula>0</formula>
    </cfRule>
    <cfRule type="cellIs" dxfId="931" priority="2" operator="greaterThan">
      <formula>10</formula>
    </cfRule>
    <cfRule type="cellIs" dxfId="930" priority="3" operator="greaterThan">
      <formula>0</formula>
    </cfRule>
  </conditionalFormatting>
  <pageMargins left="0.7" right="0.7" top="0.75" bottom="0.75" header="0.3" footer="0.3"/>
  <pageSetup paperSize="9" scale="47" fitToHeight="0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76"/>
  <sheetViews>
    <sheetView topLeftCell="A63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63:D74 E12:E73">
    <cfRule type="cellIs" dxfId="929" priority="76" operator="greaterThan">
      <formula>0</formula>
    </cfRule>
    <cfRule type="cellIs" dxfId="928" priority="77" operator="greaterThan">
      <formula>10</formula>
    </cfRule>
    <cfRule type="cellIs" dxfId="927" priority="78" operator="greaterThan">
      <formula>0</formula>
    </cfRule>
  </conditionalFormatting>
  <conditionalFormatting sqref="D12 D42:D44 D39:D40 D36:D37 D15:D34">
    <cfRule type="cellIs" dxfId="926" priority="43" operator="greaterThan">
      <formula>0</formula>
    </cfRule>
    <cfRule type="cellIs" dxfId="925" priority="44" operator="greaterThan">
      <formula>10</formula>
    </cfRule>
    <cfRule type="cellIs" dxfId="924" priority="45" operator="greaterThan">
      <formula>0</formula>
    </cfRule>
  </conditionalFormatting>
  <conditionalFormatting sqref="D41">
    <cfRule type="cellIs" dxfId="923" priority="25" operator="greaterThan">
      <formula>0</formula>
    </cfRule>
    <cfRule type="cellIs" dxfId="922" priority="26" operator="greaterThan">
      <formula>10</formula>
    </cfRule>
    <cfRule type="cellIs" dxfId="921" priority="27" operator="greaterThan">
      <formula>0</formula>
    </cfRule>
  </conditionalFormatting>
  <conditionalFormatting sqref="D38">
    <cfRule type="cellIs" dxfId="920" priority="22" operator="greaterThan">
      <formula>0</formula>
    </cfRule>
    <cfRule type="cellIs" dxfId="919" priority="23" operator="greaterThan">
      <formula>10</formula>
    </cfRule>
    <cfRule type="cellIs" dxfId="918" priority="24" operator="greaterThan">
      <formula>0</formula>
    </cfRule>
  </conditionalFormatting>
  <conditionalFormatting sqref="D35">
    <cfRule type="cellIs" dxfId="917" priority="16" operator="greaterThan">
      <formula>0</formula>
    </cfRule>
    <cfRule type="cellIs" dxfId="916" priority="17" operator="greaterThan">
      <formula>10</formula>
    </cfRule>
    <cfRule type="cellIs" dxfId="915" priority="18" operator="greaterThan">
      <formula>0</formula>
    </cfRule>
  </conditionalFormatting>
  <conditionalFormatting sqref="D45:D61">
    <cfRule type="cellIs" dxfId="914" priority="13" operator="greaterThan">
      <formula>0</formula>
    </cfRule>
    <cfRule type="cellIs" dxfId="913" priority="14" operator="greaterThan">
      <formula>10</formula>
    </cfRule>
    <cfRule type="cellIs" dxfId="912" priority="15" operator="greaterThan">
      <formula>0</formula>
    </cfRule>
  </conditionalFormatting>
  <conditionalFormatting sqref="D13">
    <cfRule type="cellIs" dxfId="911" priority="10" operator="greaterThan">
      <formula>0</formula>
    </cfRule>
    <cfRule type="cellIs" dxfId="910" priority="11" operator="greaterThan">
      <formula>10</formula>
    </cfRule>
    <cfRule type="cellIs" dxfId="909" priority="12" operator="greaterThan">
      <formula>0</formula>
    </cfRule>
  </conditionalFormatting>
  <conditionalFormatting sqref="D56">
    <cfRule type="cellIs" dxfId="908" priority="7" operator="greaterThan">
      <formula>0</formula>
    </cfRule>
    <cfRule type="cellIs" dxfId="907" priority="8" operator="greaterThan">
      <formula>10</formula>
    </cfRule>
    <cfRule type="cellIs" dxfId="906" priority="9" operator="greaterThan">
      <formula>0</formula>
    </cfRule>
  </conditionalFormatting>
  <conditionalFormatting sqref="D14">
    <cfRule type="cellIs" dxfId="905" priority="4" operator="greaterThan">
      <formula>0</formula>
    </cfRule>
    <cfRule type="cellIs" dxfId="904" priority="5" operator="greaterThan">
      <formula>10</formula>
    </cfRule>
    <cfRule type="cellIs" dxfId="903" priority="6" operator="greaterThan">
      <formula>0</formula>
    </cfRule>
  </conditionalFormatting>
  <conditionalFormatting sqref="D62">
    <cfRule type="cellIs" dxfId="902" priority="1" operator="greaterThan">
      <formula>0</formula>
    </cfRule>
    <cfRule type="cellIs" dxfId="901" priority="2" operator="greaterThan">
      <formula>10</formula>
    </cfRule>
    <cfRule type="cellIs" dxfId="900" priority="3" operator="greaterThan">
      <formula>0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76"/>
  <sheetViews>
    <sheetView topLeftCell="A63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3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>C13*D13*E13</f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autoFilter ref="A11:I76" xr:uid="{90C6EFA0-E91F-4875-BC16-91C4640F0D76}"/>
  <mergeCells count="6">
    <mergeCell ref="B74:C74"/>
    <mergeCell ref="E9:F9"/>
    <mergeCell ref="A1:F1"/>
    <mergeCell ref="A2:F2"/>
    <mergeCell ref="A3:F3"/>
    <mergeCell ref="A5:F5"/>
  </mergeCells>
  <conditionalFormatting sqref="D63:D74 E12:E73">
    <cfRule type="cellIs" dxfId="899" priority="76" operator="greaterThan">
      <formula>0</formula>
    </cfRule>
    <cfRule type="cellIs" dxfId="898" priority="77" operator="greaterThan">
      <formula>10</formula>
    </cfRule>
    <cfRule type="cellIs" dxfId="897" priority="78" operator="greaterThan">
      <formula>0</formula>
    </cfRule>
  </conditionalFormatting>
  <conditionalFormatting sqref="D12 D42:D44 D39:D40 D36:D37 D15:D34">
    <cfRule type="cellIs" dxfId="896" priority="43" operator="greaterThan">
      <formula>0</formula>
    </cfRule>
    <cfRule type="cellIs" dxfId="895" priority="44" operator="greaterThan">
      <formula>10</formula>
    </cfRule>
    <cfRule type="cellIs" dxfId="894" priority="45" operator="greaterThan">
      <formula>0</formula>
    </cfRule>
  </conditionalFormatting>
  <conditionalFormatting sqref="D41">
    <cfRule type="cellIs" dxfId="893" priority="25" operator="greaterThan">
      <formula>0</formula>
    </cfRule>
    <cfRule type="cellIs" dxfId="892" priority="26" operator="greaterThan">
      <formula>10</formula>
    </cfRule>
    <cfRule type="cellIs" dxfId="891" priority="27" operator="greaterThan">
      <formula>0</formula>
    </cfRule>
  </conditionalFormatting>
  <conditionalFormatting sqref="D38">
    <cfRule type="cellIs" dxfId="890" priority="22" operator="greaterThan">
      <formula>0</formula>
    </cfRule>
    <cfRule type="cellIs" dxfId="889" priority="23" operator="greaterThan">
      <formula>10</formula>
    </cfRule>
    <cfRule type="cellIs" dxfId="888" priority="24" operator="greaterThan">
      <formula>0</formula>
    </cfRule>
  </conditionalFormatting>
  <conditionalFormatting sqref="D35">
    <cfRule type="cellIs" dxfId="887" priority="16" operator="greaterThan">
      <formula>0</formula>
    </cfRule>
    <cfRule type="cellIs" dxfId="886" priority="17" operator="greaterThan">
      <formula>10</formula>
    </cfRule>
    <cfRule type="cellIs" dxfId="885" priority="18" operator="greaterThan">
      <formula>0</formula>
    </cfRule>
  </conditionalFormatting>
  <conditionalFormatting sqref="D45:D61">
    <cfRule type="cellIs" dxfId="884" priority="13" operator="greaterThan">
      <formula>0</formula>
    </cfRule>
    <cfRule type="cellIs" dxfId="883" priority="14" operator="greaterThan">
      <formula>10</formula>
    </cfRule>
    <cfRule type="cellIs" dxfId="882" priority="15" operator="greaterThan">
      <formula>0</formula>
    </cfRule>
  </conditionalFormatting>
  <conditionalFormatting sqref="D13">
    <cfRule type="cellIs" dxfId="881" priority="10" operator="greaterThan">
      <formula>0</formula>
    </cfRule>
    <cfRule type="cellIs" dxfId="880" priority="11" operator="greaterThan">
      <formula>10</formula>
    </cfRule>
    <cfRule type="cellIs" dxfId="879" priority="12" operator="greaterThan">
      <formula>0</formula>
    </cfRule>
  </conditionalFormatting>
  <conditionalFormatting sqref="D56">
    <cfRule type="cellIs" dxfId="878" priority="7" operator="greaterThan">
      <formula>0</formula>
    </cfRule>
    <cfRule type="cellIs" dxfId="877" priority="8" operator="greaterThan">
      <formula>10</formula>
    </cfRule>
    <cfRule type="cellIs" dxfId="876" priority="9" operator="greaterThan">
      <formula>0</formula>
    </cfRule>
  </conditionalFormatting>
  <conditionalFormatting sqref="D14">
    <cfRule type="cellIs" dxfId="875" priority="4" operator="greaterThan">
      <formula>0</formula>
    </cfRule>
    <cfRule type="cellIs" dxfId="874" priority="5" operator="greaterThan">
      <formula>10</formula>
    </cfRule>
    <cfRule type="cellIs" dxfId="873" priority="6" operator="greaterThan">
      <formula>0</formula>
    </cfRule>
  </conditionalFormatting>
  <conditionalFormatting sqref="D62">
    <cfRule type="cellIs" dxfId="872" priority="1" operator="greaterThan">
      <formula>0</formula>
    </cfRule>
    <cfRule type="cellIs" dxfId="871" priority="2" operator="greaterThan">
      <formula>10</formula>
    </cfRule>
    <cfRule type="cellIs" dxfId="870" priority="3" operator="greaterThan">
      <formula>0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76"/>
  <sheetViews>
    <sheetView topLeftCell="A7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63:D74 E12:E73">
    <cfRule type="cellIs" dxfId="869" priority="76" operator="greaterThan">
      <formula>0</formula>
    </cfRule>
    <cfRule type="cellIs" dxfId="868" priority="77" operator="greaterThan">
      <formula>10</formula>
    </cfRule>
    <cfRule type="cellIs" dxfId="867" priority="78" operator="greaterThan">
      <formula>0</formula>
    </cfRule>
  </conditionalFormatting>
  <conditionalFormatting sqref="D12 D42:D44 D39:D40 D36:D37 D15:D34">
    <cfRule type="cellIs" dxfId="866" priority="43" operator="greaterThan">
      <formula>0</formula>
    </cfRule>
    <cfRule type="cellIs" dxfId="865" priority="44" operator="greaterThan">
      <formula>10</formula>
    </cfRule>
    <cfRule type="cellIs" dxfId="864" priority="45" operator="greaterThan">
      <formula>0</formula>
    </cfRule>
  </conditionalFormatting>
  <conditionalFormatting sqref="D41">
    <cfRule type="cellIs" dxfId="863" priority="25" operator="greaterThan">
      <formula>0</formula>
    </cfRule>
    <cfRule type="cellIs" dxfId="862" priority="26" operator="greaterThan">
      <formula>10</formula>
    </cfRule>
    <cfRule type="cellIs" dxfId="861" priority="27" operator="greaterThan">
      <formula>0</formula>
    </cfRule>
  </conditionalFormatting>
  <conditionalFormatting sqref="D38">
    <cfRule type="cellIs" dxfId="860" priority="22" operator="greaterThan">
      <formula>0</formula>
    </cfRule>
    <cfRule type="cellIs" dxfId="859" priority="23" operator="greaterThan">
      <formula>10</formula>
    </cfRule>
    <cfRule type="cellIs" dxfId="858" priority="24" operator="greaterThan">
      <formula>0</formula>
    </cfRule>
  </conditionalFormatting>
  <conditionalFormatting sqref="D35">
    <cfRule type="cellIs" dxfId="857" priority="16" operator="greaterThan">
      <formula>0</formula>
    </cfRule>
    <cfRule type="cellIs" dxfId="856" priority="17" operator="greaterThan">
      <formula>10</formula>
    </cfRule>
    <cfRule type="cellIs" dxfId="855" priority="18" operator="greaterThan">
      <formula>0</formula>
    </cfRule>
  </conditionalFormatting>
  <conditionalFormatting sqref="D45:D61">
    <cfRule type="cellIs" dxfId="854" priority="13" operator="greaterThan">
      <formula>0</formula>
    </cfRule>
    <cfRule type="cellIs" dxfId="853" priority="14" operator="greaterThan">
      <formula>10</formula>
    </cfRule>
    <cfRule type="cellIs" dxfId="852" priority="15" operator="greaterThan">
      <formula>0</formula>
    </cfRule>
  </conditionalFormatting>
  <conditionalFormatting sqref="D13">
    <cfRule type="cellIs" dxfId="851" priority="10" operator="greaterThan">
      <formula>0</formula>
    </cfRule>
    <cfRule type="cellIs" dxfId="850" priority="11" operator="greaterThan">
      <formula>10</formula>
    </cfRule>
    <cfRule type="cellIs" dxfId="849" priority="12" operator="greaterThan">
      <formula>0</formula>
    </cfRule>
  </conditionalFormatting>
  <conditionalFormatting sqref="D56">
    <cfRule type="cellIs" dxfId="848" priority="7" operator="greaterThan">
      <formula>0</formula>
    </cfRule>
    <cfRule type="cellIs" dxfId="847" priority="8" operator="greaterThan">
      <formula>10</formula>
    </cfRule>
    <cfRule type="cellIs" dxfId="846" priority="9" operator="greaterThan">
      <formula>0</formula>
    </cfRule>
  </conditionalFormatting>
  <conditionalFormatting sqref="D14">
    <cfRule type="cellIs" dxfId="845" priority="4" operator="greaterThan">
      <formula>0</formula>
    </cfRule>
    <cfRule type="cellIs" dxfId="844" priority="5" operator="greaterThan">
      <formula>10</formula>
    </cfRule>
    <cfRule type="cellIs" dxfId="843" priority="6" operator="greaterThan">
      <formula>0</formula>
    </cfRule>
  </conditionalFormatting>
  <conditionalFormatting sqref="D62">
    <cfRule type="cellIs" dxfId="842" priority="1" operator="greaterThan">
      <formula>0</formula>
    </cfRule>
    <cfRule type="cellIs" dxfId="841" priority="2" operator="greaterThan">
      <formula>10</formula>
    </cfRule>
    <cfRule type="cellIs" dxfId="840" priority="3" operator="greaterThan">
      <formula>0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76"/>
  <sheetViews>
    <sheetView topLeftCell="A6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63:D74 E12:E73">
    <cfRule type="cellIs" dxfId="839" priority="76" operator="greaterThan">
      <formula>0</formula>
    </cfRule>
    <cfRule type="cellIs" dxfId="838" priority="77" operator="greaterThan">
      <formula>10</formula>
    </cfRule>
    <cfRule type="cellIs" dxfId="837" priority="78" operator="greaterThan">
      <formula>0</formula>
    </cfRule>
  </conditionalFormatting>
  <conditionalFormatting sqref="D12 D42:D44 D39:D40 D36:D37 D15:D34">
    <cfRule type="cellIs" dxfId="836" priority="43" operator="greaterThan">
      <formula>0</formula>
    </cfRule>
    <cfRule type="cellIs" dxfId="835" priority="44" operator="greaterThan">
      <formula>10</formula>
    </cfRule>
    <cfRule type="cellIs" dxfId="834" priority="45" operator="greaterThan">
      <formula>0</formula>
    </cfRule>
  </conditionalFormatting>
  <conditionalFormatting sqref="D41">
    <cfRule type="cellIs" dxfId="833" priority="25" operator="greaterThan">
      <formula>0</formula>
    </cfRule>
    <cfRule type="cellIs" dxfId="832" priority="26" operator="greaterThan">
      <formula>10</formula>
    </cfRule>
    <cfRule type="cellIs" dxfId="831" priority="27" operator="greaterThan">
      <formula>0</formula>
    </cfRule>
  </conditionalFormatting>
  <conditionalFormatting sqref="D38">
    <cfRule type="cellIs" dxfId="830" priority="22" operator="greaterThan">
      <formula>0</formula>
    </cfRule>
    <cfRule type="cellIs" dxfId="829" priority="23" operator="greaterThan">
      <formula>10</formula>
    </cfRule>
    <cfRule type="cellIs" dxfId="828" priority="24" operator="greaterThan">
      <formula>0</formula>
    </cfRule>
  </conditionalFormatting>
  <conditionalFormatting sqref="D35">
    <cfRule type="cellIs" dxfId="827" priority="16" operator="greaterThan">
      <formula>0</formula>
    </cfRule>
    <cfRule type="cellIs" dxfId="826" priority="17" operator="greaterThan">
      <formula>10</formula>
    </cfRule>
    <cfRule type="cellIs" dxfId="825" priority="18" operator="greaterThan">
      <formula>0</formula>
    </cfRule>
  </conditionalFormatting>
  <conditionalFormatting sqref="D45:D61">
    <cfRule type="cellIs" dxfId="824" priority="13" operator="greaterThan">
      <formula>0</formula>
    </cfRule>
    <cfRule type="cellIs" dxfId="823" priority="14" operator="greaterThan">
      <formula>10</formula>
    </cfRule>
    <cfRule type="cellIs" dxfId="822" priority="15" operator="greaterThan">
      <formula>0</formula>
    </cfRule>
  </conditionalFormatting>
  <conditionalFormatting sqref="D13">
    <cfRule type="cellIs" dxfId="821" priority="10" operator="greaterThan">
      <formula>0</formula>
    </cfRule>
    <cfRule type="cellIs" dxfId="820" priority="11" operator="greaterThan">
      <formula>10</formula>
    </cfRule>
    <cfRule type="cellIs" dxfId="819" priority="12" operator="greaterThan">
      <formula>0</formula>
    </cfRule>
  </conditionalFormatting>
  <conditionalFormatting sqref="D56">
    <cfRule type="cellIs" dxfId="818" priority="7" operator="greaterThan">
      <formula>0</formula>
    </cfRule>
    <cfRule type="cellIs" dxfId="817" priority="8" operator="greaterThan">
      <formula>10</formula>
    </cfRule>
    <cfRule type="cellIs" dxfId="816" priority="9" operator="greaterThan">
      <formula>0</formula>
    </cfRule>
  </conditionalFormatting>
  <conditionalFormatting sqref="D14">
    <cfRule type="cellIs" dxfId="815" priority="4" operator="greaterThan">
      <formula>0</formula>
    </cfRule>
    <cfRule type="cellIs" dxfId="814" priority="5" operator="greaterThan">
      <formula>10</formula>
    </cfRule>
    <cfRule type="cellIs" dxfId="813" priority="6" operator="greaterThan">
      <formula>0</formula>
    </cfRule>
  </conditionalFormatting>
  <conditionalFormatting sqref="D62">
    <cfRule type="cellIs" dxfId="812" priority="1" operator="greaterThan">
      <formula>0</formula>
    </cfRule>
    <cfRule type="cellIs" dxfId="811" priority="2" operator="greaterThan">
      <formula>10</formula>
    </cfRule>
    <cfRule type="cellIs" dxfId="810" priority="3" operator="greaterThan">
      <formula>0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I76"/>
  <sheetViews>
    <sheetView topLeftCell="A63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63:D74 E12:E73">
    <cfRule type="cellIs" dxfId="809" priority="76" operator="greaterThan">
      <formula>0</formula>
    </cfRule>
    <cfRule type="cellIs" dxfId="808" priority="77" operator="greaterThan">
      <formula>10</formula>
    </cfRule>
    <cfRule type="cellIs" dxfId="807" priority="78" operator="greaterThan">
      <formula>0</formula>
    </cfRule>
  </conditionalFormatting>
  <conditionalFormatting sqref="D12 D42:D44 D39:D40 D36:D37 D15:D34">
    <cfRule type="cellIs" dxfId="806" priority="43" operator="greaterThan">
      <formula>0</formula>
    </cfRule>
    <cfRule type="cellIs" dxfId="805" priority="44" operator="greaterThan">
      <formula>10</formula>
    </cfRule>
    <cfRule type="cellIs" dxfId="804" priority="45" operator="greaterThan">
      <formula>0</formula>
    </cfRule>
  </conditionalFormatting>
  <conditionalFormatting sqref="D41">
    <cfRule type="cellIs" dxfId="803" priority="25" operator="greaterThan">
      <formula>0</formula>
    </cfRule>
    <cfRule type="cellIs" dxfId="802" priority="26" operator="greaterThan">
      <formula>10</formula>
    </cfRule>
    <cfRule type="cellIs" dxfId="801" priority="27" operator="greaterThan">
      <formula>0</formula>
    </cfRule>
  </conditionalFormatting>
  <conditionalFormatting sqref="D38">
    <cfRule type="cellIs" dxfId="800" priority="22" operator="greaterThan">
      <formula>0</formula>
    </cfRule>
    <cfRule type="cellIs" dxfId="799" priority="23" operator="greaterThan">
      <formula>10</formula>
    </cfRule>
    <cfRule type="cellIs" dxfId="798" priority="24" operator="greaterThan">
      <formula>0</formula>
    </cfRule>
  </conditionalFormatting>
  <conditionalFormatting sqref="D35">
    <cfRule type="cellIs" dxfId="797" priority="16" operator="greaterThan">
      <formula>0</formula>
    </cfRule>
    <cfRule type="cellIs" dxfId="796" priority="17" operator="greaterThan">
      <formula>10</formula>
    </cfRule>
    <cfRule type="cellIs" dxfId="795" priority="18" operator="greaterThan">
      <formula>0</formula>
    </cfRule>
  </conditionalFormatting>
  <conditionalFormatting sqref="D45:D61">
    <cfRule type="cellIs" dxfId="794" priority="13" operator="greaterThan">
      <formula>0</formula>
    </cfRule>
    <cfRule type="cellIs" dxfId="793" priority="14" operator="greaterThan">
      <formula>10</formula>
    </cfRule>
    <cfRule type="cellIs" dxfId="792" priority="15" operator="greaterThan">
      <formula>0</formula>
    </cfRule>
  </conditionalFormatting>
  <conditionalFormatting sqref="D13">
    <cfRule type="cellIs" dxfId="791" priority="10" operator="greaterThan">
      <formula>0</formula>
    </cfRule>
    <cfRule type="cellIs" dxfId="790" priority="11" operator="greaterThan">
      <formula>10</formula>
    </cfRule>
    <cfRule type="cellIs" dxfId="789" priority="12" operator="greaterThan">
      <formula>0</formula>
    </cfRule>
  </conditionalFormatting>
  <conditionalFormatting sqref="D56">
    <cfRule type="cellIs" dxfId="788" priority="7" operator="greaterThan">
      <formula>0</formula>
    </cfRule>
    <cfRule type="cellIs" dxfId="787" priority="8" operator="greaterThan">
      <formula>10</formula>
    </cfRule>
    <cfRule type="cellIs" dxfId="786" priority="9" operator="greaterThan">
      <formula>0</formula>
    </cfRule>
  </conditionalFormatting>
  <conditionalFormatting sqref="D14">
    <cfRule type="cellIs" dxfId="785" priority="4" operator="greaterThan">
      <formula>0</formula>
    </cfRule>
    <cfRule type="cellIs" dxfId="784" priority="5" operator="greaterThan">
      <formula>10</formula>
    </cfRule>
    <cfRule type="cellIs" dxfId="783" priority="6" operator="greaterThan">
      <formula>0</formula>
    </cfRule>
  </conditionalFormatting>
  <conditionalFormatting sqref="D62">
    <cfRule type="cellIs" dxfId="782" priority="1" operator="greaterThan">
      <formula>0</formula>
    </cfRule>
    <cfRule type="cellIs" dxfId="781" priority="2" operator="greaterThan">
      <formula>10</formula>
    </cfRule>
    <cfRule type="cellIs" dxfId="780" priority="3" operator="greaterThan">
      <formula>0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I76"/>
  <sheetViews>
    <sheetView topLeftCell="A6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63:D74 E12:E73">
    <cfRule type="cellIs" dxfId="779" priority="76" operator="greaterThan">
      <formula>0</formula>
    </cfRule>
    <cfRule type="cellIs" dxfId="778" priority="77" operator="greaterThan">
      <formula>10</formula>
    </cfRule>
    <cfRule type="cellIs" dxfId="777" priority="78" operator="greaterThan">
      <formula>0</formula>
    </cfRule>
  </conditionalFormatting>
  <conditionalFormatting sqref="D12 D42:D44 D39:D40 D36:D37 D15:D34">
    <cfRule type="cellIs" dxfId="776" priority="43" operator="greaterThan">
      <formula>0</formula>
    </cfRule>
    <cfRule type="cellIs" dxfId="775" priority="44" operator="greaterThan">
      <formula>10</formula>
    </cfRule>
    <cfRule type="cellIs" dxfId="774" priority="45" operator="greaterThan">
      <formula>0</formula>
    </cfRule>
  </conditionalFormatting>
  <conditionalFormatting sqref="D41">
    <cfRule type="cellIs" dxfId="773" priority="25" operator="greaterThan">
      <formula>0</formula>
    </cfRule>
    <cfRule type="cellIs" dxfId="772" priority="26" operator="greaterThan">
      <formula>10</formula>
    </cfRule>
    <cfRule type="cellIs" dxfId="771" priority="27" operator="greaterThan">
      <formula>0</formula>
    </cfRule>
  </conditionalFormatting>
  <conditionalFormatting sqref="D38">
    <cfRule type="cellIs" dxfId="770" priority="22" operator="greaterThan">
      <formula>0</formula>
    </cfRule>
    <cfRule type="cellIs" dxfId="769" priority="23" operator="greaterThan">
      <formula>10</formula>
    </cfRule>
    <cfRule type="cellIs" dxfId="768" priority="24" operator="greaterThan">
      <formula>0</formula>
    </cfRule>
  </conditionalFormatting>
  <conditionalFormatting sqref="D35">
    <cfRule type="cellIs" dxfId="767" priority="16" operator="greaterThan">
      <formula>0</formula>
    </cfRule>
    <cfRule type="cellIs" dxfId="766" priority="17" operator="greaterThan">
      <formula>10</formula>
    </cfRule>
    <cfRule type="cellIs" dxfId="765" priority="18" operator="greaterThan">
      <formula>0</formula>
    </cfRule>
  </conditionalFormatting>
  <conditionalFormatting sqref="D45:D61">
    <cfRule type="cellIs" dxfId="764" priority="13" operator="greaterThan">
      <formula>0</formula>
    </cfRule>
    <cfRule type="cellIs" dxfId="763" priority="14" operator="greaterThan">
      <formula>10</formula>
    </cfRule>
    <cfRule type="cellIs" dxfId="762" priority="15" operator="greaterThan">
      <formula>0</formula>
    </cfRule>
  </conditionalFormatting>
  <conditionalFormatting sqref="D13">
    <cfRule type="cellIs" dxfId="761" priority="10" operator="greaterThan">
      <formula>0</formula>
    </cfRule>
    <cfRule type="cellIs" dxfId="760" priority="11" operator="greaterThan">
      <formula>10</formula>
    </cfRule>
    <cfRule type="cellIs" dxfId="759" priority="12" operator="greaterThan">
      <formula>0</formula>
    </cfRule>
  </conditionalFormatting>
  <conditionalFormatting sqref="D56">
    <cfRule type="cellIs" dxfId="758" priority="7" operator="greaterThan">
      <formula>0</formula>
    </cfRule>
    <cfRule type="cellIs" dxfId="757" priority="8" operator="greaterThan">
      <formula>10</formula>
    </cfRule>
    <cfRule type="cellIs" dxfId="756" priority="9" operator="greaterThan">
      <formula>0</formula>
    </cfRule>
  </conditionalFormatting>
  <conditionalFormatting sqref="D14">
    <cfRule type="cellIs" dxfId="755" priority="4" operator="greaterThan">
      <formula>0</formula>
    </cfRule>
    <cfRule type="cellIs" dxfId="754" priority="5" operator="greaterThan">
      <formula>10</formula>
    </cfRule>
    <cfRule type="cellIs" dxfId="753" priority="6" operator="greaterThan">
      <formula>0</formula>
    </cfRule>
  </conditionalFormatting>
  <conditionalFormatting sqref="D62">
    <cfRule type="cellIs" dxfId="752" priority="1" operator="greaterThan">
      <formula>0</formula>
    </cfRule>
    <cfRule type="cellIs" dxfId="751" priority="2" operator="greaterThan">
      <formula>10</formula>
    </cfRule>
    <cfRule type="cellIs" dxfId="750" priority="3" operator="greaterThan">
      <formula>0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I76"/>
  <sheetViews>
    <sheetView topLeftCell="A4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63:D74 E12:E73">
    <cfRule type="cellIs" dxfId="749" priority="76" operator="greaterThan">
      <formula>0</formula>
    </cfRule>
    <cfRule type="cellIs" dxfId="748" priority="77" operator="greaterThan">
      <formula>10</formula>
    </cfRule>
    <cfRule type="cellIs" dxfId="747" priority="78" operator="greaterThan">
      <formula>0</formula>
    </cfRule>
  </conditionalFormatting>
  <conditionalFormatting sqref="D12 D42:D44 D39:D40 D36:D37 D15:D34">
    <cfRule type="cellIs" dxfId="746" priority="43" operator="greaterThan">
      <formula>0</formula>
    </cfRule>
    <cfRule type="cellIs" dxfId="745" priority="44" operator="greaterThan">
      <formula>10</formula>
    </cfRule>
    <cfRule type="cellIs" dxfId="744" priority="45" operator="greaterThan">
      <formula>0</formula>
    </cfRule>
  </conditionalFormatting>
  <conditionalFormatting sqref="D41">
    <cfRule type="cellIs" dxfId="743" priority="25" operator="greaterThan">
      <formula>0</formula>
    </cfRule>
    <cfRule type="cellIs" dxfId="742" priority="26" operator="greaterThan">
      <formula>10</formula>
    </cfRule>
    <cfRule type="cellIs" dxfId="741" priority="27" operator="greaterThan">
      <formula>0</formula>
    </cfRule>
  </conditionalFormatting>
  <conditionalFormatting sqref="D38">
    <cfRule type="cellIs" dxfId="740" priority="22" operator="greaterThan">
      <formula>0</formula>
    </cfRule>
    <cfRule type="cellIs" dxfId="739" priority="23" operator="greaterThan">
      <formula>10</formula>
    </cfRule>
    <cfRule type="cellIs" dxfId="738" priority="24" operator="greaterThan">
      <formula>0</formula>
    </cfRule>
  </conditionalFormatting>
  <conditionalFormatting sqref="D35">
    <cfRule type="cellIs" dxfId="737" priority="16" operator="greaterThan">
      <formula>0</formula>
    </cfRule>
    <cfRule type="cellIs" dxfId="736" priority="17" operator="greaterThan">
      <formula>10</formula>
    </cfRule>
    <cfRule type="cellIs" dxfId="735" priority="18" operator="greaterThan">
      <formula>0</formula>
    </cfRule>
  </conditionalFormatting>
  <conditionalFormatting sqref="D45:D61">
    <cfRule type="cellIs" dxfId="734" priority="13" operator="greaterThan">
      <formula>0</formula>
    </cfRule>
    <cfRule type="cellIs" dxfId="733" priority="14" operator="greaterThan">
      <formula>10</formula>
    </cfRule>
    <cfRule type="cellIs" dxfId="732" priority="15" operator="greaterThan">
      <formula>0</formula>
    </cfRule>
  </conditionalFormatting>
  <conditionalFormatting sqref="D13">
    <cfRule type="cellIs" dxfId="731" priority="10" operator="greaterThan">
      <formula>0</formula>
    </cfRule>
    <cfRule type="cellIs" dxfId="730" priority="11" operator="greaterThan">
      <formula>10</formula>
    </cfRule>
    <cfRule type="cellIs" dxfId="729" priority="12" operator="greaterThan">
      <formula>0</formula>
    </cfRule>
  </conditionalFormatting>
  <conditionalFormatting sqref="D56">
    <cfRule type="cellIs" dxfId="728" priority="7" operator="greaterThan">
      <formula>0</formula>
    </cfRule>
    <cfRule type="cellIs" dxfId="727" priority="8" operator="greaterThan">
      <formula>10</formula>
    </cfRule>
    <cfRule type="cellIs" dxfId="726" priority="9" operator="greaterThan">
      <formula>0</formula>
    </cfRule>
  </conditionalFormatting>
  <conditionalFormatting sqref="D14">
    <cfRule type="cellIs" dxfId="725" priority="4" operator="greaterThan">
      <formula>0</formula>
    </cfRule>
    <cfRule type="cellIs" dxfId="724" priority="5" operator="greaterThan">
      <formula>10</formula>
    </cfRule>
    <cfRule type="cellIs" dxfId="723" priority="6" operator="greaterThan">
      <formula>0</formula>
    </cfRule>
  </conditionalFormatting>
  <conditionalFormatting sqref="D62">
    <cfRule type="cellIs" dxfId="722" priority="1" operator="greaterThan">
      <formula>0</formula>
    </cfRule>
    <cfRule type="cellIs" dxfId="721" priority="2" operator="greaterThan">
      <formula>10</formula>
    </cfRule>
    <cfRule type="cellIs" dxfId="720" priority="3" operator="greaterThan">
      <formula>0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I76"/>
  <sheetViews>
    <sheetView topLeftCell="A6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63:D74 E12:E73">
    <cfRule type="cellIs" dxfId="719" priority="76" operator="greaterThan">
      <formula>0</formula>
    </cfRule>
    <cfRule type="cellIs" dxfId="718" priority="77" operator="greaterThan">
      <formula>10</formula>
    </cfRule>
    <cfRule type="cellIs" dxfId="717" priority="78" operator="greaterThan">
      <formula>0</formula>
    </cfRule>
  </conditionalFormatting>
  <conditionalFormatting sqref="D12 D42:D44 D39:D40 D36:D37 D15:D34">
    <cfRule type="cellIs" dxfId="716" priority="43" operator="greaterThan">
      <formula>0</formula>
    </cfRule>
    <cfRule type="cellIs" dxfId="715" priority="44" operator="greaterThan">
      <formula>10</formula>
    </cfRule>
    <cfRule type="cellIs" dxfId="714" priority="45" operator="greaterThan">
      <formula>0</formula>
    </cfRule>
  </conditionalFormatting>
  <conditionalFormatting sqref="D41">
    <cfRule type="cellIs" dxfId="713" priority="25" operator="greaterThan">
      <formula>0</formula>
    </cfRule>
    <cfRule type="cellIs" dxfId="712" priority="26" operator="greaterThan">
      <formula>10</formula>
    </cfRule>
    <cfRule type="cellIs" dxfId="711" priority="27" operator="greaterThan">
      <formula>0</formula>
    </cfRule>
  </conditionalFormatting>
  <conditionalFormatting sqref="D38">
    <cfRule type="cellIs" dxfId="710" priority="22" operator="greaterThan">
      <formula>0</formula>
    </cfRule>
    <cfRule type="cellIs" dxfId="709" priority="23" operator="greaterThan">
      <formula>10</formula>
    </cfRule>
    <cfRule type="cellIs" dxfId="708" priority="24" operator="greaterThan">
      <formula>0</formula>
    </cfRule>
  </conditionalFormatting>
  <conditionalFormatting sqref="D35">
    <cfRule type="cellIs" dxfId="707" priority="16" operator="greaterThan">
      <formula>0</formula>
    </cfRule>
    <cfRule type="cellIs" dxfId="706" priority="17" operator="greaterThan">
      <formula>10</formula>
    </cfRule>
    <cfRule type="cellIs" dxfId="705" priority="18" operator="greaterThan">
      <formula>0</formula>
    </cfRule>
  </conditionalFormatting>
  <conditionalFormatting sqref="D45:D61">
    <cfRule type="cellIs" dxfId="704" priority="13" operator="greaterThan">
      <formula>0</formula>
    </cfRule>
    <cfRule type="cellIs" dxfId="703" priority="14" operator="greaterThan">
      <formula>10</formula>
    </cfRule>
    <cfRule type="cellIs" dxfId="702" priority="15" operator="greaterThan">
      <formula>0</formula>
    </cfRule>
  </conditionalFormatting>
  <conditionalFormatting sqref="D13">
    <cfRule type="cellIs" dxfId="701" priority="10" operator="greaterThan">
      <formula>0</formula>
    </cfRule>
    <cfRule type="cellIs" dxfId="700" priority="11" operator="greaterThan">
      <formula>10</formula>
    </cfRule>
    <cfRule type="cellIs" dxfId="699" priority="12" operator="greaterThan">
      <formula>0</formula>
    </cfRule>
  </conditionalFormatting>
  <conditionalFormatting sqref="D56">
    <cfRule type="cellIs" dxfId="698" priority="7" operator="greaterThan">
      <formula>0</formula>
    </cfRule>
    <cfRule type="cellIs" dxfId="697" priority="8" operator="greaterThan">
      <formula>10</formula>
    </cfRule>
    <cfRule type="cellIs" dxfId="696" priority="9" operator="greaterThan">
      <formula>0</formula>
    </cfRule>
  </conditionalFormatting>
  <conditionalFormatting sqref="D14">
    <cfRule type="cellIs" dxfId="695" priority="4" operator="greaterThan">
      <formula>0</formula>
    </cfRule>
    <cfRule type="cellIs" dxfId="694" priority="5" operator="greaterThan">
      <formula>10</formula>
    </cfRule>
    <cfRule type="cellIs" dxfId="693" priority="6" operator="greaterThan">
      <formula>0</formula>
    </cfRule>
  </conditionalFormatting>
  <conditionalFormatting sqref="D62">
    <cfRule type="cellIs" dxfId="692" priority="1" operator="greaterThan">
      <formula>0</formula>
    </cfRule>
    <cfRule type="cellIs" dxfId="691" priority="2" operator="greaterThan">
      <formula>10</formula>
    </cfRule>
    <cfRule type="cellIs" dxfId="690" priority="3" operator="greaterThan">
      <formula>0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I76"/>
  <sheetViews>
    <sheetView topLeftCell="A6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0"/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E9:F9"/>
    <mergeCell ref="A1:F1"/>
    <mergeCell ref="A2:F2"/>
    <mergeCell ref="A3:F3"/>
    <mergeCell ref="A5:F5"/>
    <mergeCell ref="E7:F7"/>
  </mergeCells>
  <conditionalFormatting sqref="D63:D74 E12:E73">
    <cfRule type="cellIs" dxfId="689" priority="76" operator="greaterThan">
      <formula>0</formula>
    </cfRule>
    <cfRule type="cellIs" dxfId="688" priority="77" operator="greaterThan">
      <formula>10</formula>
    </cfRule>
    <cfRule type="cellIs" dxfId="687" priority="78" operator="greaterThan">
      <formula>0</formula>
    </cfRule>
  </conditionalFormatting>
  <conditionalFormatting sqref="D12 D42:D44 D39:D40 D36:D37 D15:D34">
    <cfRule type="cellIs" dxfId="686" priority="43" operator="greaterThan">
      <formula>0</formula>
    </cfRule>
    <cfRule type="cellIs" dxfId="685" priority="44" operator="greaterThan">
      <formula>10</formula>
    </cfRule>
    <cfRule type="cellIs" dxfId="684" priority="45" operator="greaterThan">
      <formula>0</formula>
    </cfRule>
  </conditionalFormatting>
  <conditionalFormatting sqref="D41">
    <cfRule type="cellIs" dxfId="683" priority="25" operator="greaterThan">
      <formula>0</formula>
    </cfRule>
    <cfRule type="cellIs" dxfId="682" priority="26" operator="greaterThan">
      <formula>10</formula>
    </cfRule>
    <cfRule type="cellIs" dxfId="681" priority="27" operator="greaterThan">
      <formula>0</formula>
    </cfRule>
  </conditionalFormatting>
  <conditionalFormatting sqref="D38">
    <cfRule type="cellIs" dxfId="680" priority="22" operator="greaterThan">
      <formula>0</formula>
    </cfRule>
    <cfRule type="cellIs" dxfId="679" priority="23" operator="greaterThan">
      <formula>10</formula>
    </cfRule>
    <cfRule type="cellIs" dxfId="678" priority="24" operator="greaterThan">
      <formula>0</formula>
    </cfRule>
  </conditionalFormatting>
  <conditionalFormatting sqref="D35">
    <cfRule type="cellIs" dxfId="677" priority="16" operator="greaterThan">
      <formula>0</formula>
    </cfRule>
    <cfRule type="cellIs" dxfId="676" priority="17" operator="greaterThan">
      <formula>10</formula>
    </cfRule>
    <cfRule type="cellIs" dxfId="675" priority="18" operator="greaterThan">
      <formula>0</formula>
    </cfRule>
  </conditionalFormatting>
  <conditionalFormatting sqref="D45:D61">
    <cfRule type="cellIs" dxfId="674" priority="13" operator="greaterThan">
      <formula>0</formula>
    </cfRule>
    <cfRule type="cellIs" dxfId="673" priority="14" operator="greaterThan">
      <formula>10</formula>
    </cfRule>
    <cfRule type="cellIs" dxfId="672" priority="15" operator="greaterThan">
      <formula>0</formula>
    </cfRule>
  </conditionalFormatting>
  <conditionalFormatting sqref="D13">
    <cfRule type="cellIs" dxfId="671" priority="10" operator="greaterThan">
      <formula>0</formula>
    </cfRule>
    <cfRule type="cellIs" dxfId="670" priority="11" operator="greaterThan">
      <formula>10</formula>
    </cfRule>
    <cfRule type="cellIs" dxfId="669" priority="12" operator="greaterThan">
      <formula>0</formula>
    </cfRule>
  </conditionalFormatting>
  <conditionalFormatting sqref="D56">
    <cfRule type="cellIs" dxfId="668" priority="7" operator="greaterThan">
      <formula>0</formula>
    </cfRule>
    <cfRule type="cellIs" dxfId="667" priority="8" operator="greaterThan">
      <formula>10</formula>
    </cfRule>
    <cfRule type="cellIs" dxfId="666" priority="9" operator="greaterThan">
      <formula>0</formula>
    </cfRule>
  </conditionalFormatting>
  <conditionalFormatting sqref="D14">
    <cfRule type="cellIs" dxfId="665" priority="4" operator="greaterThan">
      <formula>0</formula>
    </cfRule>
    <cfRule type="cellIs" dxfId="664" priority="5" operator="greaterThan">
      <formula>10</formula>
    </cfRule>
    <cfRule type="cellIs" dxfId="663" priority="6" operator="greaterThan">
      <formula>0</formula>
    </cfRule>
  </conditionalFormatting>
  <conditionalFormatting sqref="D62">
    <cfRule type="cellIs" dxfId="662" priority="1" operator="greaterThan">
      <formula>0</formula>
    </cfRule>
    <cfRule type="cellIs" dxfId="661" priority="2" operator="greaterThan">
      <formula>10</formula>
    </cfRule>
    <cfRule type="cellIs" dxfId="660" priority="3" operator="greaterThan">
      <formula>0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D7D7-12E5-4AFF-B77D-540E679FB3F0}">
  <sheetPr>
    <pageSetUpPr fitToPage="1"/>
  </sheetPr>
  <dimension ref="A1:I76"/>
  <sheetViews>
    <sheetView topLeftCell="A41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63:D74 E12:E73">
    <cfRule type="cellIs" dxfId="659" priority="61" operator="greaterThan">
      <formula>0</formula>
    </cfRule>
    <cfRule type="cellIs" dxfId="658" priority="62" operator="greaterThan">
      <formula>10</formula>
    </cfRule>
    <cfRule type="cellIs" dxfId="657" priority="63" operator="greaterThan">
      <formula>0</formula>
    </cfRule>
  </conditionalFormatting>
  <conditionalFormatting sqref="D12 D42:D44 D39:D40 D36:D37 D15:D34">
    <cfRule type="cellIs" dxfId="656" priority="43" operator="greaterThan">
      <formula>0</formula>
    </cfRule>
    <cfRule type="cellIs" dxfId="655" priority="44" operator="greaterThan">
      <formula>10</formula>
    </cfRule>
    <cfRule type="cellIs" dxfId="654" priority="45" operator="greaterThan">
      <formula>0</formula>
    </cfRule>
  </conditionalFormatting>
  <conditionalFormatting sqref="D41">
    <cfRule type="cellIs" dxfId="653" priority="25" operator="greaterThan">
      <formula>0</formula>
    </cfRule>
    <cfRule type="cellIs" dxfId="652" priority="26" operator="greaterThan">
      <formula>10</formula>
    </cfRule>
    <cfRule type="cellIs" dxfId="651" priority="27" operator="greaterThan">
      <formula>0</formula>
    </cfRule>
  </conditionalFormatting>
  <conditionalFormatting sqref="D38">
    <cfRule type="cellIs" dxfId="650" priority="22" operator="greaterThan">
      <formula>0</formula>
    </cfRule>
    <cfRule type="cellIs" dxfId="649" priority="23" operator="greaterThan">
      <formula>10</formula>
    </cfRule>
    <cfRule type="cellIs" dxfId="648" priority="24" operator="greaterThan">
      <formula>0</formula>
    </cfRule>
  </conditionalFormatting>
  <conditionalFormatting sqref="D35">
    <cfRule type="cellIs" dxfId="647" priority="16" operator="greaterThan">
      <formula>0</formula>
    </cfRule>
    <cfRule type="cellIs" dxfId="646" priority="17" operator="greaterThan">
      <formula>10</formula>
    </cfRule>
    <cfRule type="cellIs" dxfId="645" priority="18" operator="greaterThan">
      <formula>0</formula>
    </cfRule>
  </conditionalFormatting>
  <conditionalFormatting sqref="D45:D61">
    <cfRule type="cellIs" dxfId="644" priority="13" operator="greaterThan">
      <formula>0</formula>
    </cfRule>
    <cfRule type="cellIs" dxfId="643" priority="14" operator="greaterThan">
      <formula>10</formula>
    </cfRule>
    <cfRule type="cellIs" dxfId="642" priority="15" operator="greaterThan">
      <formula>0</formula>
    </cfRule>
  </conditionalFormatting>
  <conditionalFormatting sqref="D13">
    <cfRule type="cellIs" dxfId="641" priority="10" operator="greaterThan">
      <formula>0</formula>
    </cfRule>
    <cfRule type="cellIs" dxfId="640" priority="11" operator="greaterThan">
      <formula>10</formula>
    </cfRule>
    <cfRule type="cellIs" dxfId="639" priority="12" operator="greaterThan">
      <formula>0</formula>
    </cfRule>
  </conditionalFormatting>
  <conditionalFormatting sqref="D56">
    <cfRule type="cellIs" dxfId="638" priority="7" operator="greaterThan">
      <formula>0</formula>
    </cfRule>
    <cfRule type="cellIs" dxfId="637" priority="8" operator="greaterThan">
      <formula>10</formula>
    </cfRule>
    <cfRule type="cellIs" dxfId="636" priority="9" operator="greaterThan">
      <formula>0</formula>
    </cfRule>
  </conditionalFormatting>
  <conditionalFormatting sqref="D14">
    <cfRule type="cellIs" dxfId="635" priority="4" operator="greaterThan">
      <formula>0</formula>
    </cfRule>
    <cfRule type="cellIs" dxfId="634" priority="5" operator="greaterThan">
      <formula>10</formula>
    </cfRule>
    <cfRule type="cellIs" dxfId="633" priority="6" operator="greaterThan">
      <formula>0</formula>
    </cfRule>
  </conditionalFormatting>
  <conditionalFormatting sqref="D62">
    <cfRule type="cellIs" dxfId="632" priority="1" operator="greaterThan">
      <formula>0</formula>
    </cfRule>
    <cfRule type="cellIs" dxfId="631" priority="2" operator="greaterThan">
      <formula>10</formula>
    </cfRule>
    <cfRule type="cellIs" dxfId="630" priority="3" operator="greaterThan">
      <formula>0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42960-2755-4D00-A34B-7809B7B83E0F}">
  <sheetPr>
    <pageSetUpPr fitToPage="1"/>
  </sheetPr>
  <dimension ref="A1:I76"/>
  <sheetViews>
    <sheetView topLeftCell="A8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63:D74 E12:E73">
    <cfRule type="cellIs" dxfId="629" priority="61" operator="greaterThan">
      <formula>0</formula>
    </cfRule>
    <cfRule type="cellIs" dxfId="628" priority="62" operator="greaterThan">
      <formula>10</formula>
    </cfRule>
    <cfRule type="cellIs" dxfId="627" priority="63" operator="greaterThan">
      <formula>0</formula>
    </cfRule>
  </conditionalFormatting>
  <conditionalFormatting sqref="D12 D42:D44 D39:D40 D36:D37 D15:D34">
    <cfRule type="cellIs" dxfId="626" priority="43" operator="greaterThan">
      <formula>0</formula>
    </cfRule>
    <cfRule type="cellIs" dxfId="625" priority="44" operator="greaterThan">
      <formula>10</formula>
    </cfRule>
    <cfRule type="cellIs" dxfId="624" priority="45" operator="greaterThan">
      <formula>0</formula>
    </cfRule>
  </conditionalFormatting>
  <conditionalFormatting sqref="D41">
    <cfRule type="cellIs" dxfId="623" priority="25" operator="greaterThan">
      <formula>0</formula>
    </cfRule>
    <cfRule type="cellIs" dxfId="622" priority="26" operator="greaterThan">
      <formula>10</formula>
    </cfRule>
    <cfRule type="cellIs" dxfId="621" priority="27" operator="greaterThan">
      <formula>0</formula>
    </cfRule>
  </conditionalFormatting>
  <conditionalFormatting sqref="D38">
    <cfRule type="cellIs" dxfId="620" priority="22" operator="greaterThan">
      <formula>0</formula>
    </cfRule>
    <cfRule type="cellIs" dxfId="619" priority="23" operator="greaterThan">
      <formula>10</formula>
    </cfRule>
    <cfRule type="cellIs" dxfId="618" priority="24" operator="greaterThan">
      <formula>0</formula>
    </cfRule>
  </conditionalFormatting>
  <conditionalFormatting sqref="D35">
    <cfRule type="cellIs" dxfId="617" priority="16" operator="greaterThan">
      <formula>0</formula>
    </cfRule>
    <cfRule type="cellIs" dxfId="616" priority="17" operator="greaterThan">
      <formula>10</formula>
    </cfRule>
    <cfRule type="cellIs" dxfId="615" priority="18" operator="greaterThan">
      <formula>0</formula>
    </cfRule>
  </conditionalFormatting>
  <conditionalFormatting sqref="D45:D61">
    <cfRule type="cellIs" dxfId="614" priority="13" operator="greaterThan">
      <formula>0</formula>
    </cfRule>
    <cfRule type="cellIs" dxfId="613" priority="14" operator="greaterThan">
      <formula>10</formula>
    </cfRule>
    <cfRule type="cellIs" dxfId="612" priority="15" operator="greaterThan">
      <formula>0</formula>
    </cfRule>
  </conditionalFormatting>
  <conditionalFormatting sqref="D13">
    <cfRule type="cellIs" dxfId="611" priority="10" operator="greaterThan">
      <formula>0</formula>
    </cfRule>
    <cfRule type="cellIs" dxfId="610" priority="11" operator="greaterThan">
      <formula>10</formula>
    </cfRule>
    <cfRule type="cellIs" dxfId="609" priority="12" operator="greaterThan">
      <formula>0</formula>
    </cfRule>
  </conditionalFormatting>
  <conditionalFormatting sqref="D56">
    <cfRule type="cellIs" dxfId="608" priority="7" operator="greaterThan">
      <formula>0</formula>
    </cfRule>
    <cfRule type="cellIs" dxfId="607" priority="8" operator="greaterThan">
      <formula>10</formula>
    </cfRule>
    <cfRule type="cellIs" dxfId="606" priority="9" operator="greaterThan">
      <formula>0</formula>
    </cfRule>
  </conditionalFormatting>
  <conditionalFormatting sqref="D14">
    <cfRule type="cellIs" dxfId="605" priority="4" operator="greaterThan">
      <formula>0</formula>
    </cfRule>
    <cfRule type="cellIs" dxfId="604" priority="5" operator="greaterThan">
      <formula>10</formula>
    </cfRule>
    <cfRule type="cellIs" dxfId="603" priority="6" operator="greaterThan">
      <formula>0</formula>
    </cfRule>
  </conditionalFormatting>
  <conditionalFormatting sqref="D62">
    <cfRule type="cellIs" dxfId="602" priority="1" operator="greaterThan">
      <formula>0</formula>
    </cfRule>
    <cfRule type="cellIs" dxfId="601" priority="2" operator="greaterThan">
      <formula>10</formula>
    </cfRule>
    <cfRule type="cellIs" dxfId="600" priority="3" operator="greaterThan">
      <formula>0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D331E-3810-4A74-BAEA-C40B450C3DE8}">
  <sheetPr>
    <pageSetUpPr fitToPage="1"/>
  </sheetPr>
  <dimension ref="A1:I76"/>
  <sheetViews>
    <sheetView topLeftCell="A36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3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6">
    <mergeCell ref="B74:C74"/>
    <mergeCell ref="A1:F1"/>
    <mergeCell ref="A2:F2"/>
    <mergeCell ref="A3:F3"/>
    <mergeCell ref="A5:F5"/>
    <mergeCell ref="E9:F9"/>
  </mergeCells>
  <conditionalFormatting sqref="D63:D74 E12:E73">
    <cfRule type="cellIs" dxfId="599" priority="61" operator="greaterThan">
      <formula>0</formula>
    </cfRule>
    <cfRule type="cellIs" dxfId="598" priority="62" operator="greaterThan">
      <formula>10</formula>
    </cfRule>
    <cfRule type="cellIs" dxfId="597" priority="63" operator="greaterThan">
      <formula>0</formula>
    </cfRule>
  </conditionalFormatting>
  <conditionalFormatting sqref="D12 D42:D44 D39:D40 D36:D37 D15:D34">
    <cfRule type="cellIs" dxfId="596" priority="43" operator="greaterThan">
      <formula>0</formula>
    </cfRule>
    <cfRule type="cellIs" dxfId="595" priority="44" operator="greaterThan">
      <formula>10</formula>
    </cfRule>
    <cfRule type="cellIs" dxfId="594" priority="45" operator="greaterThan">
      <formula>0</formula>
    </cfRule>
  </conditionalFormatting>
  <conditionalFormatting sqref="D41">
    <cfRule type="cellIs" dxfId="593" priority="25" operator="greaterThan">
      <formula>0</formula>
    </cfRule>
    <cfRule type="cellIs" dxfId="592" priority="26" operator="greaterThan">
      <formula>10</formula>
    </cfRule>
    <cfRule type="cellIs" dxfId="591" priority="27" operator="greaterThan">
      <formula>0</formula>
    </cfRule>
  </conditionalFormatting>
  <conditionalFormatting sqref="D38">
    <cfRule type="cellIs" dxfId="590" priority="22" operator="greaterThan">
      <formula>0</formula>
    </cfRule>
    <cfRule type="cellIs" dxfId="589" priority="23" operator="greaterThan">
      <formula>10</formula>
    </cfRule>
    <cfRule type="cellIs" dxfId="588" priority="24" operator="greaterThan">
      <formula>0</formula>
    </cfRule>
  </conditionalFormatting>
  <conditionalFormatting sqref="D35">
    <cfRule type="cellIs" dxfId="587" priority="16" operator="greaterThan">
      <formula>0</formula>
    </cfRule>
    <cfRule type="cellIs" dxfId="586" priority="17" operator="greaterThan">
      <formula>10</formula>
    </cfRule>
    <cfRule type="cellIs" dxfId="585" priority="18" operator="greaterThan">
      <formula>0</formula>
    </cfRule>
  </conditionalFormatting>
  <conditionalFormatting sqref="D45:D61">
    <cfRule type="cellIs" dxfId="584" priority="13" operator="greaterThan">
      <formula>0</formula>
    </cfRule>
    <cfRule type="cellIs" dxfId="583" priority="14" operator="greaterThan">
      <formula>10</formula>
    </cfRule>
    <cfRule type="cellIs" dxfId="582" priority="15" operator="greaterThan">
      <formula>0</formula>
    </cfRule>
  </conditionalFormatting>
  <conditionalFormatting sqref="D13">
    <cfRule type="cellIs" dxfId="581" priority="10" operator="greaterThan">
      <formula>0</formula>
    </cfRule>
    <cfRule type="cellIs" dxfId="580" priority="11" operator="greaterThan">
      <formula>10</formula>
    </cfRule>
    <cfRule type="cellIs" dxfId="579" priority="12" operator="greaterThan">
      <formula>0</formula>
    </cfRule>
  </conditionalFormatting>
  <conditionalFormatting sqref="D56">
    <cfRule type="cellIs" dxfId="578" priority="7" operator="greaterThan">
      <formula>0</formula>
    </cfRule>
    <cfRule type="cellIs" dxfId="577" priority="8" operator="greaterThan">
      <formula>10</formula>
    </cfRule>
    <cfRule type="cellIs" dxfId="576" priority="9" operator="greaterThan">
      <formula>0</formula>
    </cfRule>
  </conditionalFormatting>
  <conditionalFormatting sqref="D14">
    <cfRule type="cellIs" dxfId="575" priority="4" operator="greaterThan">
      <formula>0</formula>
    </cfRule>
    <cfRule type="cellIs" dxfId="574" priority="5" operator="greaterThan">
      <formula>10</formula>
    </cfRule>
    <cfRule type="cellIs" dxfId="573" priority="6" operator="greaterThan">
      <formula>0</formula>
    </cfRule>
  </conditionalFormatting>
  <conditionalFormatting sqref="D62">
    <cfRule type="cellIs" dxfId="572" priority="1" operator="greaterThan">
      <formula>0</formula>
    </cfRule>
    <cfRule type="cellIs" dxfId="571" priority="2" operator="greaterThan">
      <formula>10</formula>
    </cfRule>
    <cfRule type="cellIs" dxfId="570" priority="3" operator="greaterThan">
      <formula>0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79CB0-A12F-426A-8394-F694342A8246}">
  <sheetPr>
    <pageSetUpPr fitToPage="1"/>
  </sheetPr>
  <dimension ref="A1:I76"/>
  <sheetViews>
    <sheetView topLeftCell="A6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63:D74 E12:E73">
    <cfRule type="cellIs" dxfId="569" priority="61" operator="greaterThan">
      <formula>0</formula>
    </cfRule>
    <cfRule type="cellIs" dxfId="568" priority="62" operator="greaterThan">
      <formula>10</formula>
    </cfRule>
    <cfRule type="cellIs" dxfId="567" priority="63" operator="greaterThan">
      <formula>0</formula>
    </cfRule>
  </conditionalFormatting>
  <conditionalFormatting sqref="D12 D42:D44 D39:D40 D36:D37 D15:D34">
    <cfRule type="cellIs" dxfId="566" priority="43" operator="greaterThan">
      <formula>0</formula>
    </cfRule>
    <cfRule type="cellIs" dxfId="565" priority="44" operator="greaterThan">
      <formula>10</formula>
    </cfRule>
    <cfRule type="cellIs" dxfId="564" priority="45" operator="greaterThan">
      <formula>0</formula>
    </cfRule>
  </conditionalFormatting>
  <conditionalFormatting sqref="D41">
    <cfRule type="cellIs" dxfId="563" priority="25" operator="greaterThan">
      <formula>0</formula>
    </cfRule>
    <cfRule type="cellIs" dxfId="562" priority="26" operator="greaterThan">
      <formula>10</formula>
    </cfRule>
    <cfRule type="cellIs" dxfId="561" priority="27" operator="greaterThan">
      <formula>0</formula>
    </cfRule>
  </conditionalFormatting>
  <conditionalFormatting sqref="D38">
    <cfRule type="cellIs" dxfId="560" priority="22" operator="greaterThan">
      <formula>0</formula>
    </cfRule>
    <cfRule type="cellIs" dxfId="559" priority="23" operator="greaterThan">
      <formula>10</formula>
    </cfRule>
    <cfRule type="cellIs" dxfId="558" priority="24" operator="greaterThan">
      <formula>0</formula>
    </cfRule>
  </conditionalFormatting>
  <conditionalFormatting sqref="D35">
    <cfRule type="cellIs" dxfId="557" priority="16" operator="greaterThan">
      <formula>0</formula>
    </cfRule>
    <cfRule type="cellIs" dxfId="556" priority="17" operator="greaterThan">
      <formula>10</formula>
    </cfRule>
    <cfRule type="cellIs" dxfId="555" priority="18" operator="greaterThan">
      <formula>0</formula>
    </cfRule>
  </conditionalFormatting>
  <conditionalFormatting sqref="D45:D61">
    <cfRule type="cellIs" dxfId="554" priority="13" operator="greaterThan">
      <formula>0</formula>
    </cfRule>
    <cfRule type="cellIs" dxfId="553" priority="14" operator="greaterThan">
      <formula>10</formula>
    </cfRule>
    <cfRule type="cellIs" dxfId="552" priority="15" operator="greaterThan">
      <formula>0</formula>
    </cfRule>
  </conditionalFormatting>
  <conditionalFormatting sqref="D13">
    <cfRule type="cellIs" dxfId="551" priority="10" operator="greaterThan">
      <formula>0</formula>
    </cfRule>
    <cfRule type="cellIs" dxfId="550" priority="11" operator="greaterThan">
      <formula>10</formula>
    </cfRule>
    <cfRule type="cellIs" dxfId="549" priority="12" operator="greaterThan">
      <formula>0</formula>
    </cfRule>
  </conditionalFormatting>
  <conditionalFormatting sqref="D56">
    <cfRule type="cellIs" dxfId="548" priority="7" operator="greaterThan">
      <formula>0</formula>
    </cfRule>
    <cfRule type="cellIs" dxfId="547" priority="8" operator="greaterThan">
      <formula>10</formula>
    </cfRule>
    <cfRule type="cellIs" dxfId="546" priority="9" operator="greaterThan">
      <formula>0</formula>
    </cfRule>
  </conditionalFormatting>
  <conditionalFormatting sqref="D14">
    <cfRule type="cellIs" dxfId="545" priority="4" operator="greaterThan">
      <formula>0</formula>
    </cfRule>
    <cfRule type="cellIs" dxfId="544" priority="5" operator="greaterThan">
      <formula>10</formula>
    </cfRule>
    <cfRule type="cellIs" dxfId="543" priority="6" operator="greaterThan">
      <formula>0</formula>
    </cfRule>
  </conditionalFormatting>
  <conditionalFormatting sqref="D62">
    <cfRule type="cellIs" dxfId="542" priority="1" operator="greaterThan">
      <formula>0</formula>
    </cfRule>
    <cfRule type="cellIs" dxfId="541" priority="2" operator="greaterThan">
      <formula>10</formula>
    </cfRule>
    <cfRule type="cellIs" dxfId="540" priority="3" operator="greaterThan">
      <formula>0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038DD-C0C8-4069-A5EA-178ACFBA346C}">
  <sheetPr>
    <pageSetUpPr fitToPage="1"/>
  </sheetPr>
  <dimension ref="A1:I76"/>
  <sheetViews>
    <sheetView topLeftCell="A6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63:D74 E12:E73">
    <cfRule type="cellIs" dxfId="539" priority="61" operator="greaterThan">
      <formula>0</formula>
    </cfRule>
    <cfRule type="cellIs" dxfId="538" priority="62" operator="greaterThan">
      <formula>10</formula>
    </cfRule>
    <cfRule type="cellIs" dxfId="537" priority="63" operator="greaterThan">
      <formula>0</formula>
    </cfRule>
  </conditionalFormatting>
  <conditionalFormatting sqref="D12 D42:D44 D39:D40 D36:D37 D15:D34">
    <cfRule type="cellIs" dxfId="536" priority="43" operator="greaterThan">
      <formula>0</formula>
    </cfRule>
    <cfRule type="cellIs" dxfId="535" priority="44" operator="greaterThan">
      <formula>10</formula>
    </cfRule>
    <cfRule type="cellIs" dxfId="534" priority="45" operator="greaterThan">
      <formula>0</formula>
    </cfRule>
  </conditionalFormatting>
  <conditionalFormatting sqref="D41">
    <cfRule type="cellIs" dxfId="533" priority="25" operator="greaterThan">
      <formula>0</formula>
    </cfRule>
    <cfRule type="cellIs" dxfId="532" priority="26" operator="greaterThan">
      <formula>10</formula>
    </cfRule>
    <cfRule type="cellIs" dxfId="531" priority="27" operator="greaterThan">
      <formula>0</formula>
    </cfRule>
  </conditionalFormatting>
  <conditionalFormatting sqref="D38">
    <cfRule type="cellIs" dxfId="530" priority="22" operator="greaterThan">
      <formula>0</formula>
    </cfRule>
    <cfRule type="cellIs" dxfId="529" priority="23" operator="greaterThan">
      <formula>10</formula>
    </cfRule>
    <cfRule type="cellIs" dxfId="528" priority="24" operator="greaterThan">
      <formula>0</formula>
    </cfRule>
  </conditionalFormatting>
  <conditionalFormatting sqref="D35">
    <cfRule type="cellIs" dxfId="527" priority="16" operator="greaterThan">
      <formula>0</formula>
    </cfRule>
    <cfRule type="cellIs" dxfId="526" priority="17" operator="greaterThan">
      <formula>10</formula>
    </cfRule>
    <cfRule type="cellIs" dxfId="525" priority="18" operator="greaterThan">
      <formula>0</formula>
    </cfRule>
  </conditionalFormatting>
  <conditionalFormatting sqref="D45:D61">
    <cfRule type="cellIs" dxfId="524" priority="13" operator="greaterThan">
      <formula>0</formula>
    </cfRule>
    <cfRule type="cellIs" dxfId="523" priority="14" operator="greaterThan">
      <formula>10</formula>
    </cfRule>
    <cfRule type="cellIs" dxfId="522" priority="15" operator="greaterThan">
      <formula>0</formula>
    </cfRule>
  </conditionalFormatting>
  <conditionalFormatting sqref="D13">
    <cfRule type="cellIs" dxfId="521" priority="10" operator="greaterThan">
      <formula>0</formula>
    </cfRule>
    <cfRule type="cellIs" dxfId="520" priority="11" operator="greaterThan">
      <formula>10</formula>
    </cfRule>
    <cfRule type="cellIs" dxfId="519" priority="12" operator="greaterThan">
      <formula>0</formula>
    </cfRule>
  </conditionalFormatting>
  <conditionalFormatting sqref="D56">
    <cfRule type="cellIs" dxfId="518" priority="7" operator="greaterThan">
      <formula>0</formula>
    </cfRule>
    <cfRule type="cellIs" dxfId="517" priority="8" operator="greaterThan">
      <formula>10</formula>
    </cfRule>
    <cfRule type="cellIs" dxfId="516" priority="9" operator="greaterThan">
      <formula>0</formula>
    </cfRule>
  </conditionalFormatting>
  <conditionalFormatting sqref="D14">
    <cfRule type="cellIs" dxfId="515" priority="4" operator="greaterThan">
      <formula>0</formula>
    </cfRule>
    <cfRule type="cellIs" dxfId="514" priority="5" operator="greaterThan">
      <formula>10</formula>
    </cfRule>
    <cfRule type="cellIs" dxfId="513" priority="6" operator="greaterThan">
      <formula>0</formula>
    </cfRule>
  </conditionalFormatting>
  <conditionalFormatting sqref="D62">
    <cfRule type="cellIs" dxfId="512" priority="1" operator="greaterThan">
      <formula>0</formula>
    </cfRule>
    <cfRule type="cellIs" dxfId="511" priority="2" operator="greaterThan">
      <formula>10</formula>
    </cfRule>
    <cfRule type="cellIs" dxfId="510" priority="3" operator="greaterThan">
      <formula>0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26E1-9659-4899-BB24-B4249EAD878F}">
  <sheetPr>
    <pageSetUpPr fitToPage="1"/>
  </sheetPr>
  <dimension ref="A1:I76"/>
  <sheetViews>
    <sheetView topLeftCell="A6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63:D74 E12:E73">
    <cfRule type="cellIs" dxfId="509" priority="61" operator="greaterThan">
      <formula>0</formula>
    </cfRule>
    <cfRule type="cellIs" dxfId="508" priority="62" operator="greaterThan">
      <formula>10</formula>
    </cfRule>
    <cfRule type="cellIs" dxfId="507" priority="63" operator="greaterThan">
      <formula>0</formula>
    </cfRule>
  </conditionalFormatting>
  <conditionalFormatting sqref="D12 D42:D44 D39:D40 D36:D37 D15:D34">
    <cfRule type="cellIs" dxfId="506" priority="43" operator="greaterThan">
      <formula>0</formula>
    </cfRule>
    <cfRule type="cellIs" dxfId="505" priority="44" operator="greaterThan">
      <formula>10</formula>
    </cfRule>
    <cfRule type="cellIs" dxfId="504" priority="45" operator="greaterThan">
      <formula>0</formula>
    </cfRule>
  </conditionalFormatting>
  <conditionalFormatting sqref="D41">
    <cfRule type="cellIs" dxfId="503" priority="25" operator="greaterThan">
      <formula>0</formula>
    </cfRule>
    <cfRule type="cellIs" dxfId="502" priority="26" operator="greaterThan">
      <formula>10</formula>
    </cfRule>
    <cfRule type="cellIs" dxfId="501" priority="27" operator="greaterThan">
      <formula>0</formula>
    </cfRule>
  </conditionalFormatting>
  <conditionalFormatting sqref="D38">
    <cfRule type="cellIs" dxfId="500" priority="22" operator="greaterThan">
      <formula>0</formula>
    </cfRule>
    <cfRule type="cellIs" dxfId="499" priority="23" operator="greaterThan">
      <formula>10</formula>
    </cfRule>
    <cfRule type="cellIs" dxfId="498" priority="24" operator="greaterThan">
      <formula>0</formula>
    </cfRule>
  </conditionalFormatting>
  <conditionalFormatting sqref="D35">
    <cfRule type="cellIs" dxfId="497" priority="16" operator="greaterThan">
      <formula>0</formula>
    </cfRule>
    <cfRule type="cellIs" dxfId="496" priority="17" operator="greaterThan">
      <formula>10</formula>
    </cfRule>
    <cfRule type="cellIs" dxfId="495" priority="18" operator="greaterThan">
      <formula>0</formula>
    </cfRule>
  </conditionalFormatting>
  <conditionalFormatting sqref="D45:D61">
    <cfRule type="cellIs" dxfId="494" priority="13" operator="greaterThan">
      <formula>0</formula>
    </cfRule>
    <cfRule type="cellIs" dxfId="493" priority="14" operator="greaterThan">
      <formula>10</formula>
    </cfRule>
    <cfRule type="cellIs" dxfId="492" priority="15" operator="greaterThan">
      <formula>0</formula>
    </cfRule>
  </conditionalFormatting>
  <conditionalFormatting sqref="D13">
    <cfRule type="cellIs" dxfId="491" priority="10" operator="greaterThan">
      <formula>0</formula>
    </cfRule>
    <cfRule type="cellIs" dxfId="490" priority="11" operator="greaterThan">
      <formula>10</formula>
    </cfRule>
    <cfRule type="cellIs" dxfId="489" priority="12" operator="greaterThan">
      <formula>0</formula>
    </cfRule>
  </conditionalFormatting>
  <conditionalFormatting sqref="D56">
    <cfRule type="cellIs" dxfId="488" priority="7" operator="greaterThan">
      <formula>0</formula>
    </cfRule>
    <cfRule type="cellIs" dxfId="487" priority="8" operator="greaterThan">
      <formula>10</formula>
    </cfRule>
    <cfRule type="cellIs" dxfId="486" priority="9" operator="greaterThan">
      <formula>0</formula>
    </cfRule>
  </conditionalFormatting>
  <conditionalFormatting sqref="D14">
    <cfRule type="cellIs" dxfId="485" priority="4" operator="greaterThan">
      <formula>0</formula>
    </cfRule>
    <cfRule type="cellIs" dxfId="484" priority="5" operator="greaterThan">
      <formula>10</formula>
    </cfRule>
    <cfRule type="cellIs" dxfId="483" priority="6" operator="greaterThan">
      <formula>0</formula>
    </cfRule>
  </conditionalFormatting>
  <conditionalFormatting sqref="D62">
    <cfRule type="cellIs" dxfId="482" priority="1" operator="greaterThan">
      <formula>0</formula>
    </cfRule>
    <cfRule type="cellIs" dxfId="481" priority="2" operator="greaterThan">
      <formula>10</formula>
    </cfRule>
    <cfRule type="cellIs" dxfId="480" priority="3" operator="greaterThan">
      <formula>0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9B122-7AA2-4CF8-AE2F-3721C5A68F02}">
  <sheetPr>
    <pageSetUpPr fitToPage="1"/>
  </sheetPr>
  <dimension ref="A1:I76"/>
  <sheetViews>
    <sheetView topLeftCell="A6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63:D74 E12:E73">
    <cfRule type="cellIs" dxfId="479" priority="61" operator="greaterThan">
      <formula>0</formula>
    </cfRule>
    <cfRule type="cellIs" dxfId="478" priority="62" operator="greaterThan">
      <formula>10</formula>
    </cfRule>
    <cfRule type="cellIs" dxfId="477" priority="63" operator="greaterThan">
      <formula>0</formula>
    </cfRule>
  </conditionalFormatting>
  <conditionalFormatting sqref="D12 D42:D44 D39:D40 D36:D37 D15:D34">
    <cfRule type="cellIs" dxfId="476" priority="43" operator="greaterThan">
      <formula>0</formula>
    </cfRule>
    <cfRule type="cellIs" dxfId="475" priority="44" operator="greaterThan">
      <formula>10</formula>
    </cfRule>
    <cfRule type="cellIs" dxfId="474" priority="45" operator="greaterThan">
      <formula>0</formula>
    </cfRule>
  </conditionalFormatting>
  <conditionalFormatting sqref="D41">
    <cfRule type="cellIs" dxfId="473" priority="25" operator="greaterThan">
      <formula>0</formula>
    </cfRule>
    <cfRule type="cellIs" dxfId="472" priority="26" operator="greaterThan">
      <formula>10</formula>
    </cfRule>
    <cfRule type="cellIs" dxfId="471" priority="27" operator="greaterThan">
      <formula>0</formula>
    </cfRule>
  </conditionalFormatting>
  <conditionalFormatting sqref="D38">
    <cfRule type="cellIs" dxfId="470" priority="22" operator="greaterThan">
      <formula>0</formula>
    </cfRule>
    <cfRule type="cellIs" dxfId="469" priority="23" operator="greaterThan">
      <formula>10</formula>
    </cfRule>
    <cfRule type="cellIs" dxfId="468" priority="24" operator="greaterThan">
      <formula>0</formula>
    </cfRule>
  </conditionalFormatting>
  <conditionalFormatting sqref="D35">
    <cfRule type="cellIs" dxfId="467" priority="16" operator="greaterThan">
      <formula>0</formula>
    </cfRule>
    <cfRule type="cellIs" dxfId="466" priority="17" operator="greaterThan">
      <formula>10</formula>
    </cfRule>
    <cfRule type="cellIs" dxfId="465" priority="18" operator="greaterThan">
      <formula>0</formula>
    </cfRule>
  </conditionalFormatting>
  <conditionalFormatting sqref="D45:D61">
    <cfRule type="cellIs" dxfId="464" priority="13" operator="greaterThan">
      <formula>0</formula>
    </cfRule>
    <cfRule type="cellIs" dxfId="463" priority="14" operator="greaterThan">
      <formula>10</formula>
    </cfRule>
    <cfRule type="cellIs" dxfId="462" priority="15" operator="greaterThan">
      <formula>0</formula>
    </cfRule>
  </conditionalFormatting>
  <conditionalFormatting sqref="D13">
    <cfRule type="cellIs" dxfId="461" priority="10" operator="greaterThan">
      <formula>0</formula>
    </cfRule>
    <cfRule type="cellIs" dxfId="460" priority="11" operator="greaterThan">
      <formula>10</formula>
    </cfRule>
    <cfRule type="cellIs" dxfId="459" priority="12" operator="greaterThan">
      <formula>0</formula>
    </cfRule>
  </conditionalFormatting>
  <conditionalFormatting sqref="D56">
    <cfRule type="cellIs" dxfId="458" priority="7" operator="greaterThan">
      <formula>0</formula>
    </cfRule>
    <cfRule type="cellIs" dxfId="457" priority="8" operator="greaterThan">
      <formula>10</formula>
    </cfRule>
    <cfRule type="cellIs" dxfId="456" priority="9" operator="greaterThan">
      <formula>0</formula>
    </cfRule>
  </conditionalFormatting>
  <conditionalFormatting sqref="D14">
    <cfRule type="cellIs" dxfId="455" priority="4" operator="greaterThan">
      <formula>0</formula>
    </cfRule>
    <cfRule type="cellIs" dxfId="454" priority="5" operator="greaterThan">
      <formula>10</formula>
    </cfRule>
    <cfRule type="cellIs" dxfId="453" priority="6" operator="greaterThan">
      <formula>0</formula>
    </cfRule>
  </conditionalFormatting>
  <conditionalFormatting sqref="D62">
    <cfRule type="cellIs" dxfId="452" priority="1" operator="greaterThan">
      <formula>0</formula>
    </cfRule>
    <cfRule type="cellIs" dxfId="451" priority="2" operator="greaterThan">
      <formula>10</formula>
    </cfRule>
    <cfRule type="cellIs" dxfId="450" priority="3" operator="greaterThan">
      <formula>0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CA09D-3156-4EBB-9A09-9AA5976E7550}">
  <sheetPr>
    <pageSetUpPr fitToPage="1"/>
  </sheetPr>
  <dimension ref="A1:I76"/>
  <sheetViews>
    <sheetView topLeftCell="A4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63:D74 E12:E73">
    <cfRule type="cellIs" dxfId="449" priority="61" operator="greaterThan">
      <formula>0</formula>
    </cfRule>
    <cfRule type="cellIs" dxfId="448" priority="62" operator="greaterThan">
      <formula>10</formula>
    </cfRule>
    <cfRule type="cellIs" dxfId="447" priority="63" operator="greaterThan">
      <formula>0</formula>
    </cfRule>
  </conditionalFormatting>
  <conditionalFormatting sqref="D12 D42:D44 D39:D40 D36:D37 D15:D34">
    <cfRule type="cellIs" dxfId="446" priority="43" operator="greaterThan">
      <formula>0</formula>
    </cfRule>
    <cfRule type="cellIs" dxfId="445" priority="44" operator="greaterThan">
      <formula>10</formula>
    </cfRule>
    <cfRule type="cellIs" dxfId="444" priority="45" operator="greaterThan">
      <formula>0</formula>
    </cfRule>
  </conditionalFormatting>
  <conditionalFormatting sqref="D41">
    <cfRule type="cellIs" dxfId="443" priority="25" operator="greaterThan">
      <formula>0</formula>
    </cfRule>
    <cfRule type="cellIs" dxfId="442" priority="26" operator="greaterThan">
      <formula>10</formula>
    </cfRule>
    <cfRule type="cellIs" dxfId="441" priority="27" operator="greaterThan">
      <formula>0</formula>
    </cfRule>
  </conditionalFormatting>
  <conditionalFormatting sqref="D38">
    <cfRule type="cellIs" dxfId="440" priority="22" operator="greaterThan">
      <formula>0</formula>
    </cfRule>
    <cfRule type="cellIs" dxfId="439" priority="23" operator="greaterThan">
      <formula>10</formula>
    </cfRule>
    <cfRule type="cellIs" dxfId="438" priority="24" operator="greaterThan">
      <formula>0</formula>
    </cfRule>
  </conditionalFormatting>
  <conditionalFormatting sqref="D35">
    <cfRule type="cellIs" dxfId="437" priority="16" operator="greaterThan">
      <formula>0</formula>
    </cfRule>
    <cfRule type="cellIs" dxfId="436" priority="17" operator="greaterThan">
      <formula>10</formula>
    </cfRule>
    <cfRule type="cellIs" dxfId="435" priority="18" operator="greaterThan">
      <formula>0</formula>
    </cfRule>
  </conditionalFormatting>
  <conditionalFormatting sqref="D45:D61">
    <cfRule type="cellIs" dxfId="434" priority="13" operator="greaterThan">
      <formula>0</formula>
    </cfRule>
    <cfRule type="cellIs" dxfId="433" priority="14" operator="greaterThan">
      <formula>10</formula>
    </cfRule>
    <cfRule type="cellIs" dxfId="432" priority="15" operator="greaterThan">
      <formula>0</formula>
    </cfRule>
  </conditionalFormatting>
  <conditionalFormatting sqref="D13">
    <cfRule type="cellIs" dxfId="431" priority="10" operator="greaterThan">
      <formula>0</formula>
    </cfRule>
    <cfRule type="cellIs" dxfId="430" priority="11" operator="greaterThan">
      <formula>10</formula>
    </cfRule>
    <cfRule type="cellIs" dxfId="429" priority="12" operator="greaterThan">
      <formula>0</formula>
    </cfRule>
  </conditionalFormatting>
  <conditionalFormatting sqref="D56">
    <cfRule type="cellIs" dxfId="428" priority="7" operator="greaterThan">
      <formula>0</formula>
    </cfRule>
    <cfRule type="cellIs" dxfId="427" priority="8" operator="greaterThan">
      <formula>10</formula>
    </cfRule>
    <cfRule type="cellIs" dxfId="426" priority="9" operator="greaterThan">
      <formula>0</formula>
    </cfRule>
  </conditionalFormatting>
  <conditionalFormatting sqref="D14">
    <cfRule type="cellIs" dxfId="425" priority="4" operator="greaterThan">
      <formula>0</formula>
    </cfRule>
    <cfRule type="cellIs" dxfId="424" priority="5" operator="greaterThan">
      <formula>10</formula>
    </cfRule>
    <cfRule type="cellIs" dxfId="423" priority="6" operator="greaterThan">
      <formula>0</formula>
    </cfRule>
  </conditionalFormatting>
  <conditionalFormatting sqref="D62">
    <cfRule type="cellIs" dxfId="422" priority="1" operator="greaterThan">
      <formula>0</formula>
    </cfRule>
    <cfRule type="cellIs" dxfId="421" priority="2" operator="greaterThan">
      <formula>10</formula>
    </cfRule>
    <cfRule type="cellIs" dxfId="420" priority="3" operator="greaterThan">
      <formula>0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11CE0-5999-4D8C-962B-26144DDAFB00}">
  <sheetPr>
    <pageSetUpPr fitToPage="1"/>
  </sheetPr>
  <dimension ref="A1:I76"/>
  <sheetViews>
    <sheetView topLeftCell="A6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63:D74 E12:E73">
    <cfRule type="cellIs" dxfId="419" priority="61" operator="greaterThan">
      <formula>0</formula>
    </cfRule>
    <cfRule type="cellIs" dxfId="418" priority="62" operator="greaterThan">
      <formula>10</formula>
    </cfRule>
    <cfRule type="cellIs" dxfId="417" priority="63" operator="greaterThan">
      <formula>0</formula>
    </cfRule>
  </conditionalFormatting>
  <conditionalFormatting sqref="D12 D42:D44 D39:D40 D36:D37 D15:D34">
    <cfRule type="cellIs" dxfId="416" priority="43" operator="greaterThan">
      <formula>0</formula>
    </cfRule>
    <cfRule type="cellIs" dxfId="415" priority="44" operator="greaterThan">
      <formula>10</formula>
    </cfRule>
    <cfRule type="cellIs" dxfId="414" priority="45" operator="greaterThan">
      <formula>0</formula>
    </cfRule>
  </conditionalFormatting>
  <conditionalFormatting sqref="D41">
    <cfRule type="cellIs" dxfId="413" priority="25" operator="greaterThan">
      <formula>0</formula>
    </cfRule>
    <cfRule type="cellIs" dxfId="412" priority="26" operator="greaterThan">
      <formula>10</formula>
    </cfRule>
    <cfRule type="cellIs" dxfId="411" priority="27" operator="greaterThan">
      <formula>0</formula>
    </cfRule>
  </conditionalFormatting>
  <conditionalFormatting sqref="D38">
    <cfRule type="cellIs" dxfId="410" priority="22" operator="greaterThan">
      <formula>0</formula>
    </cfRule>
    <cfRule type="cellIs" dxfId="409" priority="23" operator="greaterThan">
      <formula>10</formula>
    </cfRule>
    <cfRule type="cellIs" dxfId="408" priority="24" operator="greaterThan">
      <formula>0</formula>
    </cfRule>
  </conditionalFormatting>
  <conditionalFormatting sqref="D35">
    <cfRule type="cellIs" dxfId="407" priority="16" operator="greaterThan">
      <formula>0</formula>
    </cfRule>
    <cfRule type="cellIs" dxfId="406" priority="17" operator="greaterThan">
      <formula>10</formula>
    </cfRule>
    <cfRule type="cellIs" dxfId="405" priority="18" operator="greaterThan">
      <formula>0</formula>
    </cfRule>
  </conditionalFormatting>
  <conditionalFormatting sqref="D45:D61">
    <cfRule type="cellIs" dxfId="404" priority="13" operator="greaterThan">
      <formula>0</formula>
    </cfRule>
    <cfRule type="cellIs" dxfId="403" priority="14" operator="greaterThan">
      <formula>10</formula>
    </cfRule>
    <cfRule type="cellIs" dxfId="402" priority="15" operator="greaterThan">
      <formula>0</formula>
    </cfRule>
  </conditionalFormatting>
  <conditionalFormatting sqref="D13">
    <cfRule type="cellIs" dxfId="401" priority="10" operator="greaterThan">
      <formula>0</formula>
    </cfRule>
    <cfRule type="cellIs" dxfId="400" priority="11" operator="greaterThan">
      <formula>10</formula>
    </cfRule>
    <cfRule type="cellIs" dxfId="399" priority="12" operator="greaterThan">
      <formula>0</formula>
    </cfRule>
  </conditionalFormatting>
  <conditionalFormatting sqref="D56">
    <cfRule type="cellIs" dxfId="398" priority="7" operator="greaterThan">
      <formula>0</formula>
    </cfRule>
    <cfRule type="cellIs" dxfId="397" priority="8" operator="greaterThan">
      <formula>10</formula>
    </cfRule>
    <cfRule type="cellIs" dxfId="396" priority="9" operator="greaterThan">
      <formula>0</formula>
    </cfRule>
  </conditionalFormatting>
  <conditionalFormatting sqref="D14">
    <cfRule type="cellIs" dxfId="395" priority="4" operator="greaterThan">
      <formula>0</formula>
    </cfRule>
    <cfRule type="cellIs" dxfId="394" priority="5" operator="greaterThan">
      <formula>10</formula>
    </cfRule>
    <cfRule type="cellIs" dxfId="393" priority="6" operator="greaterThan">
      <formula>0</formula>
    </cfRule>
  </conditionalFormatting>
  <conditionalFormatting sqref="D62">
    <cfRule type="cellIs" dxfId="392" priority="1" operator="greaterThan">
      <formula>0</formula>
    </cfRule>
    <cfRule type="cellIs" dxfId="391" priority="2" operator="greaterThan">
      <formula>10</formula>
    </cfRule>
    <cfRule type="cellIs" dxfId="390" priority="3" operator="greaterThan">
      <formula>0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71FDA-BFE7-4AEC-AE8C-448ABAAF50A8}">
  <sheetPr>
    <pageSetUpPr fitToPage="1"/>
  </sheetPr>
  <dimension ref="A1:I76"/>
  <sheetViews>
    <sheetView topLeftCell="A6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0"/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63:D74 E12:E73">
    <cfRule type="cellIs" dxfId="389" priority="61" operator="greaterThan">
      <formula>0</formula>
    </cfRule>
    <cfRule type="cellIs" dxfId="388" priority="62" operator="greaterThan">
      <formula>10</formula>
    </cfRule>
    <cfRule type="cellIs" dxfId="387" priority="63" operator="greaterThan">
      <formula>0</formula>
    </cfRule>
  </conditionalFormatting>
  <conditionalFormatting sqref="D12 D42:D44 D39:D40 D36:D37 D15:D34">
    <cfRule type="cellIs" dxfId="386" priority="43" operator="greaterThan">
      <formula>0</formula>
    </cfRule>
    <cfRule type="cellIs" dxfId="385" priority="44" operator="greaterThan">
      <formula>10</formula>
    </cfRule>
    <cfRule type="cellIs" dxfId="384" priority="45" operator="greaterThan">
      <formula>0</formula>
    </cfRule>
  </conditionalFormatting>
  <conditionalFormatting sqref="D41">
    <cfRule type="cellIs" dxfId="383" priority="25" operator="greaterThan">
      <formula>0</formula>
    </cfRule>
    <cfRule type="cellIs" dxfId="382" priority="26" operator="greaterThan">
      <formula>10</formula>
    </cfRule>
    <cfRule type="cellIs" dxfId="381" priority="27" operator="greaterThan">
      <formula>0</formula>
    </cfRule>
  </conditionalFormatting>
  <conditionalFormatting sqref="D38">
    <cfRule type="cellIs" dxfId="380" priority="22" operator="greaterThan">
      <formula>0</formula>
    </cfRule>
    <cfRule type="cellIs" dxfId="379" priority="23" operator="greaterThan">
      <formula>10</formula>
    </cfRule>
    <cfRule type="cellIs" dxfId="378" priority="24" operator="greaterThan">
      <formula>0</formula>
    </cfRule>
  </conditionalFormatting>
  <conditionalFormatting sqref="D35">
    <cfRule type="cellIs" dxfId="377" priority="16" operator="greaterThan">
      <formula>0</formula>
    </cfRule>
    <cfRule type="cellIs" dxfId="376" priority="17" operator="greaterThan">
      <formula>10</formula>
    </cfRule>
    <cfRule type="cellIs" dxfId="375" priority="18" operator="greaterThan">
      <formula>0</formula>
    </cfRule>
  </conditionalFormatting>
  <conditionalFormatting sqref="D45:D61">
    <cfRule type="cellIs" dxfId="374" priority="13" operator="greaterThan">
      <formula>0</formula>
    </cfRule>
    <cfRule type="cellIs" dxfId="373" priority="14" operator="greaterThan">
      <formula>10</formula>
    </cfRule>
    <cfRule type="cellIs" dxfId="372" priority="15" operator="greaterThan">
      <formula>0</formula>
    </cfRule>
  </conditionalFormatting>
  <conditionalFormatting sqref="D13">
    <cfRule type="cellIs" dxfId="371" priority="10" operator="greaterThan">
      <formula>0</formula>
    </cfRule>
    <cfRule type="cellIs" dxfId="370" priority="11" operator="greaterThan">
      <formula>10</formula>
    </cfRule>
    <cfRule type="cellIs" dxfId="369" priority="12" operator="greaterThan">
      <formula>0</formula>
    </cfRule>
  </conditionalFormatting>
  <conditionalFormatting sqref="D56">
    <cfRule type="cellIs" dxfId="368" priority="7" operator="greaterThan">
      <formula>0</formula>
    </cfRule>
    <cfRule type="cellIs" dxfId="367" priority="8" operator="greaterThan">
      <formula>10</formula>
    </cfRule>
    <cfRule type="cellIs" dxfId="366" priority="9" operator="greaterThan">
      <formula>0</formula>
    </cfRule>
  </conditionalFormatting>
  <conditionalFormatting sqref="D14">
    <cfRule type="cellIs" dxfId="365" priority="4" operator="greaterThan">
      <formula>0</formula>
    </cfRule>
    <cfRule type="cellIs" dxfId="364" priority="5" operator="greaterThan">
      <formula>10</formula>
    </cfRule>
    <cfRule type="cellIs" dxfId="363" priority="6" operator="greaterThan">
      <formula>0</formula>
    </cfRule>
  </conditionalFormatting>
  <conditionalFormatting sqref="D62">
    <cfRule type="cellIs" dxfId="362" priority="1" operator="greaterThan">
      <formula>0</formula>
    </cfRule>
    <cfRule type="cellIs" dxfId="361" priority="2" operator="greaterThan">
      <formula>10</formula>
    </cfRule>
    <cfRule type="cellIs" dxfId="360" priority="3" operator="greaterThan">
      <formula>0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5E225-C368-4292-AC33-CD5F5C002C63}">
  <sheetPr>
    <pageSetUpPr fitToPage="1"/>
  </sheetPr>
  <dimension ref="A1:I76"/>
  <sheetViews>
    <sheetView topLeftCell="A30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63:D74 E12:E73">
    <cfRule type="cellIs" dxfId="359" priority="61" operator="greaterThan">
      <formula>0</formula>
    </cfRule>
    <cfRule type="cellIs" dxfId="358" priority="62" operator="greaterThan">
      <formula>10</formula>
    </cfRule>
    <cfRule type="cellIs" dxfId="357" priority="63" operator="greaterThan">
      <formula>0</formula>
    </cfRule>
  </conditionalFormatting>
  <conditionalFormatting sqref="D12 D42:D44 D39:D40 D36:D37 D15:D34">
    <cfRule type="cellIs" dxfId="356" priority="43" operator="greaterThan">
      <formula>0</formula>
    </cfRule>
    <cfRule type="cellIs" dxfId="355" priority="44" operator="greaterThan">
      <formula>10</formula>
    </cfRule>
    <cfRule type="cellIs" dxfId="354" priority="45" operator="greaterThan">
      <formula>0</formula>
    </cfRule>
  </conditionalFormatting>
  <conditionalFormatting sqref="D41">
    <cfRule type="cellIs" dxfId="353" priority="25" operator="greaterThan">
      <formula>0</formula>
    </cfRule>
    <cfRule type="cellIs" dxfId="352" priority="26" operator="greaterThan">
      <formula>10</formula>
    </cfRule>
    <cfRule type="cellIs" dxfId="351" priority="27" operator="greaterThan">
      <formula>0</formula>
    </cfRule>
  </conditionalFormatting>
  <conditionalFormatting sqref="D38">
    <cfRule type="cellIs" dxfId="350" priority="22" operator="greaterThan">
      <formula>0</formula>
    </cfRule>
    <cfRule type="cellIs" dxfId="349" priority="23" operator="greaterThan">
      <formula>10</formula>
    </cfRule>
    <cfRule type="cellIs" dxfId="348" priority="24" operator="greaterThan">
      <formula>0</formula>
    </cfRule>
  </conditionalFormatting>
  <conditionalFormatting sqref="D35">
    <cfRule type="cellIs" dxfId="347" priority="16" operator="greaterThan">
      <formula>0</formula>
    </cfRule>
    <cfRule type="cellIs" dxfId="346" priority="17" operator="greaterThan">
      <formula>10</formula>
    </cfRule>
    <cfRule type="cellIs" dxfId="345" priority="18" operator="greaterThan">
      <formula>0</formula>
    </cfRule>
  </conditionalFormatting>
  <conditionalFormatting sqref="D45:D61">
    <cfRule type="cellIs" dxfId="344" priority="13" operator="greaterThan">
      <formula>0</formula>
    </cfRule>
    <cfRule type="cellIs" dxfId="343" priority="14" operator="greaterThan">
      <formula>10</formula>
    </cfRule>
    <cfRule type="cellIs" dxfId="342" priority="15" operator="greaterThan">
      <formula>0</formula>
    </cfRule>
  </conditionalFormatting>
  <conditionalFormatting sqref="D13">
    <cfRule type="cellIs" dxfId="341" priority="10" operator="greaterThan">
      <formula>0</formula>
    </cfRule>
    <cfRule type="cellIs" dxfId="340" priority="11" operator="greaterThan">
      <formula>10</formula>
    </cfRule>
    <cfRule type="cellIs" dxfId="339" priority="12" operator="greaterThan">
      <formula>0</formula>
    </cfRule>
  </conditionalFormatting>
  <conditionalFormatting sqref="D56">
    <cfRule type="cellIs" dxfId="338" priority="7" operator="greaterThan">
      <formula>0</formula>
    </cfRule>
    <cfRule type="cellIs" dxfId="337" priority="8" operator="greaterThan">
      <formula>10</formula>
    </cfRule>
    <cfRule type="cellIs" dxfId="336" priority="9" operator="greaterThan">
      <formula>0</formula>
    </cfRule>
  </conditionalFormatting>
  <conditionalFormatting sqref="D14">
    <cfRule type="cellIs" dxfId="335" priority="4" operator="greaterThan">
      <formula>0</formula>
    </cfRule>
    <cfRule type="cellIs" dxfId="334" priority="5" operator="greaterThan">
      <formula>10</formula>
    </cfRule>
    <cfRule type="cellIs" dxfId="333" priority="6" operator="greaterThan">
      <formula>0</formula>
    </cfRule>
  </conditionalFormatting>
  <conditionalFormatting sqref="D62">
    <cfRule type="cellIs" dxfId="332" priority="1" operator="greaterThan">
      <formula>0</formula>
    </cfRule>
    <cfRule type="cellIs" dxfId="331" priority="2" operator="greaterThan">
      <formula>10</formula>
    </cfRule>
    <cfRule type="cellIs" dxfId="330" priority="3" operator="greaterThan">
      <formula>0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C759-5B2B-44AA-8518-C1ECD31113FD}">
  <sheetPr>
    <pageSetUpPr fitToPage="1"/>
  </sheetPr>
  <dimension ref="A1:I76"/>
  <sheetViews>
    <sheetView topLeftCell="A29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63:D74 E12:E73">
    <cfRule type="cellIs" dxfId="329" priority="61" operator="greaterThan">
      <formula>0</formula>
    </cfRule>
    <cfRule type="cellIs" dxfId="328" priority="62" operator="greaterThan">
      <formula>10</formula>
    </cfRule>
    <cfRule type="cellIs" dxfId="327" priority="63" operator="greaterThan">
      <formula>0</formula>
    </cfRule>
  </conditionalFormatting>
  <conditionalFormatting sqref="D12 D42:D44 D39:D40 D36:D37 D15:D34">
    <cfRule type="cellIs" dxfId="326" priority="43" operator="greaterThan">
      <formula>0</formula>
    </cfRule>
    <cfRule type="cellIs" dxfId="325" priority="44" operator="greaterThan">
      <formula>10</formula>
    </cfRule>
    <cfRule type="cellIs" dxfId="324" priority="45" operator="greaterThan">
      <formula>0</formula>
    </cfRule>
  </conditionalFormatting>
  <conditionalFormatting sqref="D41">
    <cfRule type="cellIs" dxfId="323" priority="25" operator="greaterThan">
      <formula>0</formula>
    </cfRule>
    <cfRule type="cellIs" dxfId="322" priority="26" operator="greaterThan">
      <formula>10</formula>
    </cfRule>
    <cfRule type="cellIs" dxfId="321" priority="27" operator="greaterThan">
      <formula>0</formula>
    </cfRule>
  </conditionalFormatting>
  <conditionalFormatting sqref="D38">
    <cfRule type="cellIs" dxfId="320" priority="22" operator="greaterThan">
      <formula>0</formula>
    </cfRule>
    <cfRule type="cellIs" dxfId="319" priority="23" operator="greaterThan">
      <formula>10</formula>
    </cfRule>
    <cfRule type="cellIs" dxfId="318" priority="24" operator="greaterThan">
      <formula>0</formula>
    </cfRule>
  </conditionalFormatting>
  <conditionalFormatting sqref="D35">
    <cfRule type="cellIs" dxfId="317" priority="16" operator="greaterThan">
      <formula>0</formula>
    </cfRule>
    <cfRule type="cellIs" dxfId="316" priority="17" operator="greaterThan">
      <formula>10</formula>
    </cfRule>
    <cfRule type="cellIs" dxfId="315" priority="18" operator="greaterThan">
      <formula>0</formula>
    </cfRule>
  </conditionalFormatting>
  <conditionalFormatting sqref="D45:D61">
    <cfRule type="cellIs" dxfId="314" priority="13" operator="greaterThan">
      <formula>0</formula>
    </cfRule>
    <cfRule type="cellIs" dxfId="313" priority="14" operator="greaterThan">
      <formula>10</formula>
    </cfRule>
    <cfRule type="cellIs" dxfId="312" priority="15" operator="greaterThan">
      <formula>0</formula>
    </cfRule>
  </conditionalFormatting>
  <conditionalFormatting sqref="D13">
    <cfRule type="cellIs" dxfId="311" priority="10" operator="greaterThan">
      <formula>0</formula>
    </cfRule>
    <cfRule type="cellIs" dxfId="310" priority="11" operator="greaterThan">
      <formula>10</formula>
    </cfRule>
    <cfRule type="cellIs" dxfId="309" priority="12" operator="greaterThan">
      <formula>0</formula>
    </cfRule>
  </conditionalFormatting>
  <conditionalFormatting sqref="D56">
    <cfRule type="cellIs" dxfId="308" priority="7" operator="greaterThan">
      <formula>0</formula>
    </cfRule>
    <cfRule type="cellIs" dxfId="307" priority="8" operator="greaterThan">
      <formula>10</formula>
    </cfRule>
    <cfRule type="cellIs" dxfId="306" priority="9" operator="greaterThan">
      <formula>0</formula>
    </cfRule>
  </conditionalFormatting>
  <conditionalFormatting sqref="D14">
    <cfRule type="cellIs" dxfId="305" priority="4" operator="greaterThan">
      <formula>0</formula>
    </cfRule>
    <cfRule type="cellIs" dxfId="304" priority="5" operator="greaterThan">
      <formula>10</formula>
    </cfRule>
    <cfRule type="cellIs" dxfId="303" priority="6" operator="greaterThan">
      <formula>0</formula>
    </cfRule>
  </conditionalFormatting>
  <conditionalFormatting sqref="D62">
    <cfRule type="cellIs" dxfId="302" priority="1" operator="greaterThan">
      <formula>0</formula>
    </cfRule>
    <cfRule type="cellIs" dxfId="301" priority="2" operator="greaterThan">
      <formula>10</formula>
    </cfRule>
    <cfRule type="cellIs" dxfId="300" priority="3" operator="greaterThan">
      <formula>0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1C200-8A92-466E-B89B-15FD04821479}">
  <sheetPr>
    <pageSetUpPr fitToPage="1"/>
  </sheetPr>
  <dimension ref="A1:I76"/>
  <sheetViews>
    <sheetView topLeftCell="A42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63:D74 E12:E73">
    <cfRule type="cellIs" dxfId="299" priority="61" operator="greaterThan">
      <formula>0</formula>
    </cfRule>
    <cfRule type="cellIs" dxfId="298" priority="62" operator="greaterThan">
      <formula>10</formula>
    </cfRule>
    <cfRule type="cellIs" dxfId="297" priority="63" operator="greaterThan">
      <formula>0</formula>
    </cfRule>
  </conditionalFormatting>
  <conditionalFormatting sqref="D12 D42:D44 D39:D40 D36:D37 D15:D34">
    <cfRule type="cellIs" dxfId="296" priority="43" operator="greaterThan">
      <formula>0</formula>
    </cfRule>
    <cfRule type="cellIs" dxfId="295" priority="44" operator="greaterThan">
      <formula>10</formula>
    </cfRule>
    <cfRule type="cellIs" dxfId="294" priority="45" operator="greaterThan">
      <formula>0</formula>
    </cfRule>
  </conditionalFormatting>
  <conditionalFormatting sqref="D41">
    <cfRule type="cellIs" dxfId="293" priority="25" operator="greaterThan">
      <formula>0</formula>
    </cfRule>
    <cfRule type="cellIs" dxfId="292" priority="26" operator="greaterThan">
      <formula>10</formula>
    </cfRule>
    <cfRule type="cellIs" dxfId="291" priority="27" operator="greaterThan">
      <formula>0</formula>
    </cfRule>
  </conditionalFormatting>
  <conditionalFormatting sqref="D38">
    <cfRule type="cellIs" dxfId="290" priority="22" operator="greaterThan">
      <formula>0</formula>
    </cfRule>
    <cfRule type="cellIs" dxfId="289" priority="23" operator="greaterThan">
      <formula>10</formula>
    </cfRule>
    <cfRule type="cellIs" dxfId="288" priority="24" operator="greaterThan">
      <formula>0</formula>
    </cfRule>
  </conditionalFormatting>
  <conditionalFormatting sqref="D35">
    <cfRule type="cellIs" dxfId="287" priority="16" operator="greaterThan">
      <formula>0</formula>
    </cfRule>
    <cfRule type="cellIs" dxfId="286" priority="17" operator="greaterThan">
      <formula>10</formula>
    </cfRule>
    <cfRule type="cellIs" dxfId="285" priority="18" operator="greaterThan">
      <formula>0</formula>
    </cfRule>
  </conditionalFormatting>
  <conditionalFormatting sqref="D45:D61">
    <cfRule type="cellIs" dxfId="284" priority="13" operator="greaterThan">
      <formula>0</formula>
    </cfRule>
    <cfRule type="cellIs" dxfId="283" priority="14" operator="greaterThan">
      <formula>10</formula>
    </cfRule>
    <cfRule type="cellIs" dxfId="282" priority="15" operator="greaterThan">
      <formula>0</formula>
    </cfRule>
  </conditionalFormatting>
  <conditionalFormatting sqref="D13">
    <cfRule type="cellIs" dxfId="281" priority="10" operator="greaterThan">
      <formula>0</formula>
    </cfRule>
    <cfRule type="cellIs" dxfId="280" priority="11" operator="greaterThan">
      <formula>10</formula>
    </cfRule>
    <cfRule type="cellIs" dxfId="279" priority="12" operator="greaterThan">
      <formula>0</formula>
    </cfRule>
  </conditionalFormatting>
  <conditionalFormatting sqref="D56">
    <cfRule type="cellIs" dxfId="278" priority="7" operator="greaterThan">
      <formula>0</formula>
    </cfRule>
    <cfRule type="cellIs" dxfId="277" priority="8" operator="greaterThan">
      <formula>10</formula>
    </cfRule>
    <cfRule type="cellIs" dxfId="276" priority="9" operator="greaterThan">
      <formula>0</formula>
    </cfRule>
  </conditionalFormatting>
  <conditionalFormatting sqref="D14">
    <cfRule type="cellIs" dxfId="275" priority="4" operator="greaterThan">
      <formula>0</formula>
    </cfRule>
    <cfRule type="cellIs" dxfId="274" priority="5" operator="greaterThan">
      <formula>10</formula>
    </cfRule>
    <cfRule type="cellIs" dxfId="273" priority="6" operator="greaterThan">
      <formula>0</formula>
    </cfRule>
  </conditionalFormatting>
  <conditionalFormatting sqref="D62">
    <cfRule type="cellIs" dxfId="272" priority="1" operator="greaterThan">
      <formula>0</formula>
    </cfRule>
    <cfRule type="cellIs" dxfId="271" priority="2" operator="greaterThan">
      <formula>10</formula>
    </cfRule>
    <cfRule type="cellIs" dxfId="270" priority="3" operator="greaterThan">
      <formula>0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5D49B-C3C6-482F-9D3A-7202E72771C1}">
  <sheetPr>
    <pageSetUpPr fitToPage="1"/>
  </sheetPr>
  <dimension ref="A1:I76"/>
  <sheetViews>
    <sheetView topLeftCell="A42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3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6">
    <mergeCell ref="B74:C74"/>
    <mergeCell ref="A1:F1"/>
    <mergeCell ref="A2:F2"/>
    <mergeCell ref="A3:F3"/>
    <mergeCell ref="A5:F5"/>
    <mergeCell ref="E9:F9"/>
  </mergeCells>
  <conditionalFormatting sqref="D63:D74 E12:E73">
    <cfRule type="cellIs" dxfId="269" priority="58" operator="greaterThan">
      <formula>0</formula>
    </cfRule>
    <cfRule type="cellIs" dxfId="268" priority="59" operator="greaterThan">
      <formula>10</formula>
    </cfRule>
    <cfRule type="cellIs" dxfId="267" priority="60" operator="greaterThan">
      <formula>0</formula>
    </cfRule>
  </conditionalFormatting>
  <conditionalFormatting sqref="D12 D42:D44 D39:D40 D36:D37 D15:D34">
    <cfRule type="cellIs" dxfId="266" priority="40" operator="greaterThan">
      <formula>0</formula>
    </cfRule>
    <cfRule type="cellIs" dxfId="265" priority="41" operator="greaterThan">
      <formula>10</formula>
    </cfRule>
    <cfRule type="cellIs" dxfId="264" priority="42" operator="greaterThan">
      <formula>0</formula>
    </cfRule>
  </conditionalFormatting>
  <conditionalFormatting sqref="D41">
    <cfRule type="cellIs" dxfId="263" priority="25" operator="greaterThan">
      <formula>0</formula>
    </cfRule>
    <cfRule type="cellIs" dxfId="262" priority="26" operator="greaterThan">
      <formula>10</formula>
    </cfRule>
    <cfRule type="cellIs" dxfId="261" priority="27" operator="greaterThan">
      <formula>0</formula>
    </cfRule>
  </conditionalFormatting>
  <conditionalFormatting sqref="D38">
    <cfRule type="cellIs" dxfId="260" priority="22" operator="greaterThan">
      <formula>0</formula>
    </cfRule>
    <cfRule type="cellIs" dxfId="259" priority="23" operator="greaterThan">
      <formula>10</formula>
    </cfRule>
    <cfRule type="cellIs" dxfId="258" priority="24" operator="greaterThan">
      <formula>0</formula>
    </cfRule>
  </conditionalFormatting>
  <conditionalFormatting sqref="D35">
    <cfRule type="cellIs" dxfId="257" priority="16" operator="greaterThan">
      <formula>0</formula>
    </cfRule>
    <cfRule type="cellIs" dxfId="256" priority="17" operator="greaterThan">
      <formula>10</formula>
    </cfRule>
    <cfRule type="cellIs" dxfId="255" priority="18" operator="greaterThan">
      <formula>0</formula>
    </cfRule>
  </conditionalFormatting>
  <conditionalFormatting sqref="D45:D61">
    <cfRule type="cellIs" dxfId="254" priority="13" operator="greaterThan">
      <formula>0</formula>
    </cfRule>
    <cfRule type="cellIs" dxfId="253" priority="14" operator="greaterThan">
      <formula>10</formula>
    </cfRule>
    <cfRule type="cellIs" dxfId="252" priority="15" operator="greaterThan">
      <formula>0</formula>
    </cfRule>
  </conditionalFormatting>
  <conditionalFormatting sqref="D13">
    <cfRule type="cellIs" dxfId="251" priority="10" operator="greaterThan">
      <formula>0</formula>
    </cfRule>
    <cfRule type="cellIs" dxfId="250" priority="11" operator="greaterThan">
      <formula>10</formula>
    </cfRule>
    <cfRule type="cellIs" dxfId="249" priority="12" operator="greaterThan">
      <formula>0</formula>
    </cfRule>
  </conditionalFormatting>
  <conditionalFormatting sqref="D56">
    <cfRule type="cellIs" dxfId="248" priority="7" operator="greaterThan">
      <formula>0</formula>
    </cfRule>
    <cfRule type="cellIs" dxfId="247" priority="8" operator="greaterThan">
      <formula>10</formula>
    </cfRule>
    <cfRule type="cellIs" dxfId="246" priority="9" operator="greaterThan">
      <formula>0</formula>
    </cfRule>
  </conditionalFormatting>
  <conditionalFormatting sqref="D14">
    <cfRule type="cellIs" dxfId="245" priority="4" operator="greaterThan">
      <formula>0</formula>
    </cfRule>
    <cfRule type="cellIs" dxfId="244" priority="5" operator="greaterThan">
      <formula>10</formula>
    </cfRule>
    <cfRule type="cellIs" dxfId="243" priority="6" operator="greaterThan">
      <formula>0</formula>
    </cfRule>
  </conditionalFormatting>
  <conditionalFormatting sqref="D62">
    <cfRule type="cellIs" dxfId="242" priority="1" operator="greaterThan">
      <formula>0</formula>
    </cfRule>
    <cfRule type="cellIs" dxfId="241" priority="2" operator="greaterThan">
      <formula>10</formula>
    </cfRule>
    <cfRule type="cellIs" dxfId="240" priority="3" operator="greaterThan">
      <formula>0</formula>
    </cfRule>
  </conditionalFormatting>
  <pageMargins left="0.7" right="0.7" top="0.75" bottom="0.75" header="0.3" footer="0.3"/>
  <pageSetup paperSize="9" scale="50" fitToHeight="0" orientation="portrait" verticalDpi="4294967293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BC6B0-6C75-453C-AA7E-9F732C6D626D}">
  <sheetPr>
    <pageSetUpPr fitToPage="1"/>
  </sheetPr>
  <dimension ref="A1:I76"/>
  <sheetViews>
    <sheetView topLeftCell="A6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63:D74 E12:E73">
    <cfRule type="cellIs" dxfId="239" priority="58" operator="greaterThan">
      <formula>0</formula>
    </cfRule>
    <cfRule type="cellIs" dxfId="238" priority="59" operator="greaterThan">
      <formula>10</formula>
    </cfRule>
    <cfRule type="cellIs" dxfId="237" priority="60" operator="greaterThan">
      <formula>0</formula>
    </cfRule>
  </conditionalFormatting>
  <conditionalFormatting sqref="D12 D42:D44 D39:D40 D36:D37 D15:D34">
    <cfRule type="cellIs" dxfId="236" priority="40" operator="greaterThan">
      <formula>0</formula>
    </cfRule>
    <cfRule type="cellIs" dxfId="235" priority="41" operator="greaterThan">
      <formula>10</formula>
    </cfRule>
    <cfRule type="cellIs" dxfId="234" priority="42" operator="greaterThan">
      <formula>0</formula>
    </cfRule>
  </conditionalFormatting>
  <conditionalFormatting sqref="D41">
    <cfRule type="cellIs" dxfId="233" priority="25" operator="greaterThan">
      <formula>0</formula>
    </cfRule>
    <cfRule type="cellIs" dxfId="232" priority="26" operator="greaterThan">
      <formula>10</formula>
    </cfRule>
    <cfRule type="cellIs" dxfId="231" priority="27" operator="greaterThan">
      <formula>0</formula>
    </cfRule>
  </conditionalFormatting>
  <conditionalFormatting sqref="D38">
    <cfRule type="cellIs" dxfId="230" priority="22" operator="greaterThan">
      <formula>0</formula>
    </cfRule>
    <cfRule type="cellIs" dxfId="229" priority="23" operator="greaterThan">
      <formula>10</formula>
    </cfRule>
    <cfRule type="cellIs" dxfId="228" priority="24" operator="greaterThan">
      <formula>0</formula>
    </cfRule>
  </conditionalFormatting>
  <conditionalFormatting sqref="D35">
    <cfRule type="cellIs" dxfId="227" priority="16" operator="greaterThan">
      <formula>0</formula>
    </cfRule>
    <cfRule type="cellIs" dxfId="226" priority="17" operator="greaterThan">
      <formula>10</formula>
    </cfRule>
    <cfRule type="cellIs" dxfId="225" priority="18" operator="greaterThan">
      <formula>0</formula>
    </cfRule>
  </conditionalFormatting>
  <conditionalFormatting sqref="D45:D61">
    <cfRule type="cellIs" dxfId="224" priority="13" operator="greaterThan">
      <formula>0</formula>
    </cfRule>
    <cfRule type="cellIs" dxfId="223" priority="14" operator="greaterThan">
      <formula>10</formula>
    </cfRule>
    <cfRule type="cellIs" dxfId="222" priority="15" operator="greaterThan">
      <formula>0</formula>
    </cfRule>
  </conditionalFormatting>
  <conditionalFormatting sqref="D13">
    <cfRule type="cellIs" dxfId="221" priority="10" operator="greaterThan">
      <formula>0</formula>
    </cfRule>
    <cfRule type="cellIs" dxfId="220" priority="11" operator="greaterThan">
      <formula>10</formula>
    </cfRule>
    <cfRule type="cellIs" dxfId="219" priority="12" operator="greaterThan">
      <formula>0</formula>
    </cfRule>
  </conditionalFormatting>
  <conditionalFormatting sqref="D56">
    <cfRule type="cellIs" dxfId="218" priority="7" operator="greaterThan">
      <formula>0</formula>
    </cfRule>
    <cfRule type="cellIs" dxfId="217" priority="8" operator="greaterThan">
      <formula>10</formula>
    </cfRule>
    <cfRule type="cellIs" dxfId="216" priority="9" operator="greaterThan">
      <formula>0</formula>
    </cfRule>
  </conditionalFormatting>
  <conditionalFormatting sqref="D14">
    <cfRule type="cellIs" dxfId="215" priority="4" operator="greaterThan">
      <formula>0</formula>
    </cfRule>
    <cfRule type="cellIs" dxfId="214" priority="5" operator="greaterThan">
      <formula>10</formula>
    </cfRule>
    <cfRule type="cellIs" dxfId="213" priority="6" operator="greaterThan">
      <formula>0</formula>
    </cfRule>
  </conditionalFormatting>
  <conditionalFormatting sqref="D62">
    <cfRule type="cellIs" dxfId="212" priority="1" operator="greaterThan">
      <formula>0</formula>
    </cfRule>
    <cfRule type="cellIs" dxfId="211" priority="2" operator="greaterThan">
      <formula>10</formula>
    </cfRule>
    <cfRule type="cellIs" dxfId="210" priority="3" operator="greaterThan">
      <formula>0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CED38-966A-44C6-83DC-3961C2ACE15B}">
  <sheetPr>
    <pageSetUpPr fitToPage="1"/>
  </sheetPr>
  <dimension ref="A1:I76"/>
  <sheetViews>
    <sheetView topLeftCell="A6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63:D74 E12:E73">
    <cfRule type="cellIs" dxfId="209" priority="58" operator="greaterThan">
      <formula>0</formula>
    </cfRule>
    <cfRule type="cellIs" dxfId="208" priority="59" operator="greaterThan">
      <formula>10</formula>
    </cfRule>
    <cfRule type="cellIs" dxfId="207" priority="60" operator="greaterThan">
      <formula>0</formula>
    </cfRule>
  </conditionalFormatting>
  <conditionalFormatting sqref="D12 D42:D44 D39:D40 D36:D37 D15:D34">
    <cfRule type="cellIs" dxfId="206" priority="40" operator="greaterThan">
      <formula>0</formula>
    </cfRule>
    <cfRule type="cellIs" dxfId="205" priority="41" operator="greaterThan">
      <formula>10</formula>
    </cfRule>
    <cfRule type="cellIs" dxfId="204" priority="42" operator="greaterThan">
      <formula>0</formula>
    </cfRule>
  </conditionalFormatting>
  <conditionalFormatting sqref="D41">
    <cfRule type="cellIs" dxfId="203" priority="25" operator="greaterThan">
      <formula>0</formula>
    </cfRule>
    <cfRule type="cellIs" dxfId="202" priority="26" operator="greaterThan">
      <formula>10</formula>
    </cfRule>
    <cfRule type="cellIs" dxfId="201" priority="27" operator="greaterThan">
      <formula>0</formula>
    </cfRule>
  </conditionalFormatting>
  <conditionalFormatting sqref="D38">
    <cfRule type="cellIs" dxfId="200" priority="22" operator="greaterThan">
      <formula>0</formula>
    </cfRule>
    <cfRule type="cellIs" dxfId="199" priority="23" operator="greaterThan">
      <formula>10</formula>
    </cfRule>
    <cfRule type="cellIs" dxfId="198" priority="24" operator="greaterThan">
      <formula>0</formula>
    </cfRule>
  </conditionalFormatting>
  <conditionalFormatting sqref="D35">
    <cfRule type="cellIs" dxfId="197" priority="16" operator="greaterThan">
      <formula>0</formula>
    </cfRule>
    <cfRule type="cellIs" dxfId="196" priority="17" operator="greaterThan">
      <formula>10</formula>
    </cfRule>
    <cfRule type="cellIs" dxfId="195" priority="18" operator="greaterThan">
      <formula>0</formula>
    </cfRule>
  </conditionalFormatting>
  <conditionalFormatting sqref="D45:D61">
    <cfRule type="cellIs" dxfId="194" priority="13" operator="greaterThan">
      <formula>0</formula>
    </cfRule>
    <cfRule type="cellIs" dxfId="193" priority="14" operator="greaterThan">
      <formula>10</formula>
    </cfRule>
    <cfRule type="cellIs" dxfId="192" priority="15" operator="greaterThan">
      <formula>0</formula>
    </cfRule>
  </conditionalFormatting>
  <conditionalFormatting sqref="D13">
    <cfRule type="cellIs" dxfId="191" priority="10" operator="greaterThan">
      <formula>0</formula>
    </cfRule>
    <cfRule type="cellIs" dxfId="190" priority="11" operator="greaterThan">
      <formula>10</formula>
    </cfRule>
    <cfRule type="cellIs" dxfId="189" priority="12" operator="greaterThan">
      <formula>0</formula>
    </cfRule>
  </conditionalFormatting>
  <conditionalFormatting sqref="D56">
    <cfRule type="cellIs" dxfId="188" priority="7" operator="greaterThan">
      <formula>0</formula>
    </cfRule>
    <cfRule type="cellIs" dxfId="187" priority="8" operator="greaterThan">
      <formula>10</formula>
    </cfRule>
    <cfRule type="cellIs" dxfId="186" priority="9" operator="greaterThan">
      <formula>0</formula>
    </cfRule>
  </conditionalFormatting>
  <conditionalFormatting sqref="D14">
    <cfRule type="cellIs" dxfId="185" priority="4" operator="greaterThan">
      <formula>0</formula>
    </cfRule>
    <cfRule type="cellIs" dxfId="184" priority="5" operator="greaterThan">
      <formula>10</formula>
    </cfRule>
    <cfRule type="cellIs" dxfId="183" priority="6" operator="greaterThan">
      <formula>0</formula>
    </cfRule>
  </conditionalFormatting>
  <conditionalFormatting sqref="D62">
    <cfRule type="cellIs" dxfId="182" priority="1" operator="greaterThan">
      <formula>0</formula>
    </cfRule>
    <cfRule type="cellIs" dxfId="181" priority="2" operator="greaterThan">
      <formula>10</formula>
    </cfRule>
    <cfRule type="cellIs" dxfId="180" priority="3" operator="greaterThan">
      <formula>0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86ADC-5A3C-4DF3-97D4-3A25C790E029}">
  <sheetPr>
    <pageSetUpPr fitToPage="1"/>
  </sheetPr>
  <dimension ref="A1:I76"/>
  <sheetViews>
    <sheetView topLeftCell="A6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63:D74 E12:E73">
    <cfRule type="cellIs" dxfId="179" priority="58" operator="greaterThan">
      <formula>0</formula>
    </cfRule>
    <cfRule type="cellIs" dxfId="178" priority="59" operator="greaterThan">
      <formula>10</formula>
    </cfRule>
    <cfRule type="cellIs" dxfId="177" priority="60" operator="greaterThan">
      <formula>0</formula>
    </cfRule>
  </conditionalFormatting>
  <conditionalFormatting sqref="D12 D42:D44 D39:D40 D36:D37 D15:D34">
    <cfRule type="cellIs" dxfId="176" priority="40" operator="greaterThan">
      <formula>0</formula>
    </cfRule>
    <cfRule type="cellIs" dxfId="175" priority="41" operator="greaterThan">
      <formula>10</formula>
    </cfRule>
    <cfRule type="cellIs" dxfId="174" priority="42" operator="greaterThan">
      <formula>0</formula>
    </cfRule>
  </conditionalFormatting>
  <conditionalFormatting sqref="D41">
    <cfRule type="cellIs" dxfId="173" priority="25" operator="greaterThan">
      <formula>0</formula>
    </cfRule>
    <cfRule type="cellIs" dxfId="172" priority="26" operator="greaterThan">
      <formula>10</formula>
    </cfRule>
    <cfRule type="cellIs" dxfId="171" priority="27" operator="greaterThan">
      <formula>0</formula>
    </cfRule>
  </conditionalFormatting>
  <conditionalFormatting sqref="D38">
    <cfRule type="cellIs" dxfId="170" priority="22" operator="greaterThan">
      <formula>0</formula>
    </cfRule>
    <cfRule type="cellIs" dxfId="169" priority="23" operator="greaterThan">
      <formula>10</formula>
    </cfRule>
    <cfRule type="cellIs" dxfId="168" priority="24" operator="greaterThan">
      <formula>0</formula>
    </cfRule>
  </conditionalFormatting>
  <conditionalFormatting sqref="D35">
    <cfRule type="cellIs" dxfId="167" priority="16" operator="greaterThan">
      <formula>0</formula>
    </cfRule>
    <cfRule type="cellIs" dxfId="166" priority="17" operator="greaterThan">
      <formula>10</formula>
    </cfRule>
    <cfRule type="cellIs" dxfId="165" priority="18" operator="greaterThan">
      <formula>0</formula>
    </cfRule>
  </conditionalFormatting>
  <conditionalFormatting sqref="D45:D61">
    <cfRule type="cellIs" dxfId="164" priority="13" operator="greaterThan">
      <formula>0</formula>
    </cfRule>
    <cfRule type="cellIs" dxfId="163" priority="14" operator="greaterThan">
      <formula>10</formula>
    </cfRule>
    <cfRule type="cellIs" dxfId="162" priority="15" operator="greaterThan">
      <formula>0</formula>
    </cfRule>
  </conditionalFormatting>
  <conditionalFormatting sqref="D13">
    <cfRule type="cellIs" dxfId="161" priority="10" operator="greaterThan">
      <formula>0</formula>
    </cfRule>
    <cfRule type="cellIs" dxfId="160" priority="11" operator="greaterThan">
      <formula>10</formula>
    </cfRule>
    <cfRule type="cellIs" dxfId="159" priority="12" operator="greaterThan">
      <formula>0</formula>
    </cfRule>
  </conditionalFormatting>
  <conditionalFormatting sqref="D56">
    <cfRule type="cellIs" dxfId="158" priority="7" operator="greaterThan">
      <formula>0</formula>
    </cfRule>
    <cfRule type="cellIs" dxfId="157" priority="8" operator="greaterThan">
      <formula>10</formula>
    </cfRule>
    <cfRule type="cellIs" dxfId="156" priority="9" operator="greaterThan">
      <formula>0</formula>
    </cfRule>
  </conditionalFormatting>
  <conditionalFormatting sqref="D14">
    <cfRule type="cellIs" dxfId="155" priority="4" operator="greaterThan">
      <formula>0</formula>
    </cfRule>
    <cfRule type="cellIs" dxfId="154" priority="5" operator="greaterThan">
      <formula>10</formula>
    </cfRule>
    <cfRule type="cellIs" dxfId="153" priority="6" operator="greaterThan">
      <formula>0</formula>
    </cfRule>
  </conditionalFormatting>
  <conditionalFormatting sqref="D62">
    <cfRule type="cellIs" dxfId="152" priority="1" operator="greaterThan">
      <formula>0</formula>
    </cfRule>
    <cfRule type="cellIs" dxfId="151" priority="2" operator="greaterThan">
      <formula>10</formula>
    </cfRule>
    <cfRule type="cellIs" dxfId="150" priority="3" operator="greaterThan">
      <formula>0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C03-ADAF-4BDB-874A-CB27A94CFFF5}">
  <sheetPr>
    <pageSetUpPr fitToPage="1"/>
  </sheetPr>
  <dimension ref="A1:I76"/>
  <sheetViews>
    <sheetView topLeftCell="A6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63:D74 E12:E73">
    <cfRule type="cellIs" dxfId="149" priority="58" operator="greaterThan">
      <formula>0</formula>
    </cfRule>
    <cfRule type="cellIs" dxfId="148" priority="59" operator="greaterThan">
      <formula>10</formula>
    </cfRule>
    <cfRule type="cellIs" dxfId="147" priority="60" operator="greaterThan">
      <formula>0</formula>
    </cfRule>
  </conditionalFormatting>
  <conditionalFormatting sqref="D12 D42:D44 D39:D40 D36:D37 D15:D34">
    <cfRule type="cellIs" dxfId="146" priority="40" operator="greaterThan">
      <formula>0</formula>
    </cfRule>
    <cfRule type="cellIs" dxfId="145" priority="41" operator="greaterThan">
      <formula>10</formula>
    </cfRule>
    <cfRule type="cellIs" dxfId="144" priority="42" operator="greaterThan">
      <formula>0</formula>
    </cfRule>
  </conditionalFormatting>
  <conditionalFormatting sqref="D41">
    <cfRule type="cellIs" dxfId="143" priority="25" operator="greaterThan">
      <formula>0</formula>
    </cfRule>
    <cfRule type="cellIs" dxfId="142" priority="26" operator="greaterThan">
      <formula>10</formula>
    </cfRule>
    <cfRule type="cellIs" dxfId="141" priority="27" operator="greaterThan">
      <formula>0</formula>
    </cfRule>
  </conditionalFormatting>
  <conditionalFormatting sqref="D38">
    <cfRule type="cellIs" dxfId="140" priority="22" operator="greaterThan">
      <formula>0</formula>
    </cfRule>
    <cfRule type="cellIs" dxfId="139" priority="23" operator="greaterThan">
      <formula>10</formula>
    </cfRule>
    <cfRule type="cellIs" dxfId="138" priority="24" operator="greaterThan">
      <formula>0</formula>
    </cfRule>
  </conditionalFormatting>
  <conditionalFormatting sqref="D35">
    <cfRule type="cellIs" dxfId="137" priority="16" operator="greaterThan">
      <formula>0</formula>
    </cfRule>
    <cfRule type="cellIs" dxfId="136" priority="17" operator="greaterThan">
      <formula>10</formula>
    </cfRule>
    <cfRule type="cellIs" dxfId="135" priority="18" operator="greaterThan">
      <formula>0</formula>
    </cfRule>
  </conditionalFormatting>
  <conditionalFormatting sqref="D45:D61">
    <cfRule type="cellIs" dxfId="134" priority="13" operator="greaterThan">
      <formula>0</formula>
    </cfRule>
    <cfRule type="cellIs" dxfId="133" priority="14" operator="greaterThan">
      <formula>10</formula>
    </cfRule>
    <cfRule type="cellIs" dxfId="132" priority="15" operator="greaterThan">
      <formula>0</formula>
    </cfRule>
  </conditionalFormatting>
  <conditionalFormatting sqref="D13">
    <cfRule type="cellIs" dxfId="131" priority="10" operator="greaterThan">
      <formula>0</formula>
    </cfRule>
    <cfRule type="cellIs" dxfId="130" priority="11" operator="greaterThan">
      <formula>10</formula>
    </cfRule>
    <cfRule type="cellIs" dxfId="129" priority="12" operator="greaterThan">
      <formula>0</formula>
    </cfRule>
  </conditionalFormatting>
  <conditionalFormatting sqref="D56">
    <cfRule type="cellIs" dxfId="128" priority="7" operator="greaterThan">
      <formula>0</formula>
    </cfRule>
    <cfRule type="cellIs" dxfId="127" priority="8" operator="greaterThan">
      <formula>10</formula>
    </cfRule>
    <cfRule type="cellIs" dxfId="126" priority="9" operator="greaterThan">
      <formula>0</formula>
    </cfRule>
  </conditionalFormatting>
  <conditionalFormatting sqref="D14">
    <cfRule type="cellIs" dxfId="125" priority="4" operator="greaterThan">
      <formula>0</formula>
    </cfRule>
    <cfRule type="cellIs" dxfId="124" priority="5" operator="greaterThan">
      <formula>10</formula>
    </cfRule>
    <cfRule type="cellIs" dxfId="123" priority="6" operator="greaterThan">
      <formula>0</formula>
    </cfRule>
  </conditionalFormatting>
  <conditionalFormatting sqref="D62">
    <cfRule type="cellIs" dxfId="122" priority="1" operator="greaterThan">
      <formula>0</formula>
    </cfRule>
    <cfRule type="cellIs" dxfId="121" priority="2" operator="greaterThan">
      <formula>10</formula>
    </cfRule>
    <cfRule type="cellIs" dxfId="120" priority="3" operator="greaterThan">
      <formula>0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7CC1-3757-4062-AB78-B5AFAB167225}">
  <sheetPr>
    <pageSetUpPr fitToPage="1"/>
  </sheetPr>
  <dimension ref="A1:I76"/>
  <sheetViews>
    <sheetView topLeftCell="A4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63:D74 E12:E73">
    <cfRule type="cellIs" dxfId="119" priority="58" operator="greaterThan">
      <formula>0</formula>
    </cfRule>
    <cfRule type="cellIs" dxfId="118" priority="59" operator="greaterThan">
      <formula>10</formula>
    </cfRule>
    <cfRule type="cellIs" dxfId="117" priority="60" operator="greaterThan">
      <formula>0</formula>
    </cfRule>
  </conditionalFormatting>
  <conditionalFormatting sqref="D12 D42:D44 D39:D40 D36:D37 D15:D34">
    <cfRule type="cellIs" dxfId="116" priority="40" operator="greaterThan">
      <formula>0</formula>
    </cfRule>
    <cfRule type="cellIs" dxfId="115" priority="41" operator="greaterThan">
      <formula>10</formula>
    </cfRule>
    <cfRule type="cellIs" dxfId="114" priority="42" operator="greaterThan">
      <formula>0</formula>
    </cfRule>
  </conditionalFormatting>
  <conditionalFormatting sqref="D41">
    <cfRule type="cellIs" dxfId="113" priority="25" operator="greaterThan">
      <formula>0</formula>
    </cfRule>
    <cfRule type="cellIs" dxfId="112" priority="26" operator="greaterThan">
      <formula>10</formula>
    </cfRule>
    <cfRule type="cellIs" dxfId="111" priority="27" operator="greaterThan">
      <formula>0</formula>
    </cfRule>
  </conditionalFormatting>
  <conditionalFormatting sqref="D38">
    <cfRule type="cellIs" dxfId="110" priority="22" operator="greaterThan">
      <formula>0</formula>
    </cfRule>
    <cfRule type="cellIs" dxfId="109" priority="23" operator="greaterThan">
      <formula>10</formula>
    </cfRule>
    <cfRule type="cellIs" dxfId="108" priority="24" operator="greaterThan">
      <formula>0</formula>
    </cfRule>
  </conditionalFormatting>
  <conditionalFormatting sqref="D35">
    <cfRule type="cellIs" dxfId="107" priority="16" operator="greaterThan">
      <formula>0</formula>
    </cfRule>
    <cfRule type="cellIs" dxfId="106" priority="17" operator="greaterThan">
      <formula>10</formula>
    </cfRule>
    <cfRule type="cellIs" dxfId="105" priority="18" operator="greaterThan">
      <formula>0</formula>
    </cfRule>
  </conditionalFormatting>
  <conditionalFormatting sqref="D45:D61">
    <cfRule type="cellIs" dxfId="104" priority="13" operator="greaterThan">
      <formula>0</formula>
    </cfRule>
    <cfRule type="cellIs" dxfId="103" priority="14" operator="greaterThan">
      <formula>10</formula>
    </cfRule>
    <cfRule type="cellIs" dxfId="102" priority="15" operator="greaterThan">
      <formula>0</formula>
    </cfRule>
  </conditionalFormatting>
  <conditionalFormatting sqref="D13">
    <cfRule type="cellIs" dxfId="101" priority="10" operator="greaterThan">
      <formula>0</formula>
    </cfRule>
    <cfRule type="cellIs" dxfId="100" priority="11" operator="greaterThan">
      <formula>10</formula>
    </cfRule>
    <cfRule type="cellIs" dxfId="99" priority="12" operator="greaterThan">
      <formula>0</formula>
    </cfRule>
  </conditionalFormatting>
  <conditionalFormatting sqref="D56">
    <cfRule type="cellIs" dxfId="98" priority="7" operator="greaterThan">
      <formula>0</formula>
    </cfRule>
    <cfRule type="cellIs" dxfId="97" priority="8" operator="greaterThan">
      <formula>10</formula>
    </cfRule>
    <cfRule type="cellIs" dxfId="96" priority="9" operator="greaterThan">
      <formula>0</formula>
    </cfRule>
  </conditionalFormatting>
  <conditionalFormatting sqref="D14">
    <cfRule type="cellIs" dxfId="95" priority="4" operator="greaterThan">
      <formula>0</formula>
    </cfRule>
    <cfRule type="cellIs" dxfId="94" priority="5" operator="greaterThan">
      <formula>10</formula>
    </cfRule>
    <cfRule type="cellIs" dxfId="93" priority="6" operator="greaterThan">
      <formula>0</formula>
    </cfRule>
  </conditionalFormatting>
  <conditionalFormatting sqref="D62">
    <cfRule type="cellIs" dxfId="92" priority="1" operator="greaterThan">
      <formula>0</formula>
    </cfRule>
    <cfRule type="cellIs" dxfId="91" priority="2" operator="greaterThan">
      <formula>10</formula>
    </cfRule>
    <cfRule type="cellIs" dxfId="90" priority="3" operator="greaterThan">
      <formula>0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26B0-D5DE-4509-98AA-DC3C5D8B47CD}">
  <sheetPr>
    <pageSetUpPr fitToPage="1"/>
  </sheetPr>
  <dimension ref="A1:I76"/>
  <sheetViews>
    <sheetView topLeftCell="A40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63:D74 E12:E73">
    <cfRule type="cellIs" dxfId="89" priority="58" operator="greaterThan">
      <formula>0</formula>
    </cfRule>
    <cfRule type="cellIs" dxfId="88" priority="59" operator="greaterThan">
      <formula>10</formula>
    </cfRule>
    <cfRule type="cellIs" dxfId="87" priority="60" operator="greaterThan">
      <formula>0</formula>
    </cfRule>
  </conditionalFormatting>
  <conditionalFormatting sqref="D12 D42:D44 D39:D40 D36:D37 D15:D34">
    <cfRule type="cellIs" dxfId="86" priority="40" operator="greaterThan">
      <formula>0</formula>
    </cfRule>
    <cfRule type="cellIs" dxfId="85" priority="41" operator="greaterThan">
      <formula>10</formula>
    </cfRule>
    <cfRule type="cellIs" dxfId="84" priority="42" operator="greaterThan">
      <formula>0</formula>
    </cfRule>
  </conditionalFormatting>
  <conditionalFormatting sqref="D41">
    <cfRule type="cellIs" dxfId="83" priority="25" operator="greaterThan">
      <formula>0</formula>
    </cfRule>
    <cfRule type="cellIs" dxfId="82" priority="26" operator="greaterThan">
      <formula>10</formula>
    </cfRule>
    <cfRule type="cellIs" dxfId="81" priority="27" operator="greaterThan">
      <formula>0</formula>
    </cfRule>
  </conditionalFormatting>
  <conditionalFormatting sqref="D38">
    <cfRule type="cellIs" dxfId="80" priority="22" operator="greaterThan">
      <formula>0</formula>
    </cfRule>
    <cfRule type="cellIs" dxfId="79" priority="23" operator="greaterThan">
      <formula>10</formula>
    </cfRule>
    <cfRule type="cellIs" dxfId="78" priority="24" operator="greaterThan">
      <formula>0</formula>
    </cfRule>
  </conditionalFormatting>
  <conditionalFormatting sqref="D35">
    <cfRule type="cellIs" dxfId="77" priority="16" operator="greaterThan">
      <formula>0</formula>
    </cfRule>
    <cfRule type="cellIs" dxfId="76" priority="17" operator="greaterThan">
      <formula>10</formula>
    </cfRule>
    <cfRule type="cellIs" dxfId="75" priority="18" operator="greaterThan">
      <formula>0</formula>
    </cfRule>
  </conditionalFormatting>
  <conditionalFormatting sqref="D45:D61">
    <cfRule type="cellIs" dxfId="74" priority="13" operator="greaterThan">
      <formula>0</formula>
    </cfRule>
    <cfRule type="cellIs" dxfId="73" priority="14" operator="greaterThan">
      <formula>10</formula>
    </cfRule>
    <cfRule type="cellIs" dxfId="72" priority="15" operator="greaterThan">
      <formula>0</formula>
    </cfRule>
  </conditionalFormatting>
  <conditionalFormatting sqref="D13">
    <cfRule type="cellIs" dxfId="71" priority="10" operator="greaterThan">
      <formula>0</formula>
    </cfRule>
    <cfRule type="cellIs" dxfId="70" priority="11" operator="greaterThan">
      <formula>10</formula>
    </cfRule>
    <cfRule type="cellIs" dxfId="69" priority="12" operator="greaterThan">
      <formula>0</formula>
    </cfRule>
  </conditionalFormatting>
  <conditionalFormatting sqref="D56">
    <cfRule type="cellIs" dxfId="68" priority="7" operator="greaterThan">
      <formula>0</formula>
    </cfRule>
    <cfRule type="cellIs" dxfId="67" priority="8" operator="greaterThan">
      <formula>10</formula>
    </cfRule>
    <cfRule type="cellIs" dxfId="66" priority="9" operator="greaterThan">
      <formula>0</formula>
    </cfRule>
  </conditionalFormatting>
  <conditionalFormatting sqref="D14">
    <cfRule type="cellIs" dxfId="65" priority="4" operator="greaterThan">
      <formula>0</formula>
    </cfRule>
    <cfRule type="cellIs" dxfId="64" priority="5" operator="greaterThan">
      <formula>10</formula>
    </cfRule>
    <cfRule type="cellIs" dxfId="63" priority="6" operator="greaterThan">
      <formula>0</formula>
    </cfRule>
  </conditionalFormatting>
  <conditionalFormatting sqref="D62">
    <cfRule type="cellIs" dxfId="62" priority="1" operator="greaterThan">
      <formula>0</formula>
    </cfRule>
    <cfRule type="cellIs" dxfId="61" priority="2" operator="greaterThan">
      <formula>10</formula>
    </cfRule>
    <cfRule type="cellIs" dxfId="60" priority="3" operator="greaterThan">
      <formula>0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897E7-59A5-48E7-A6BB-8617C47B1F2A}">
  <sheetPr>
    <pageSetUpPr fitToPage="1"/>
  </sheetPr>
  <dimension ref="A1:I76"/>
  <sheetViews>
    <sheetView topLeftCell="A6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0"/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63:D74 E12:E73">
    <cfRule type="cellIs" dxfId="59" priority="58" operator="greaterThan">
      <formula>0</formula>
    </cfRule>
    <cfRule type="cellIs" dxfId="58" priority="59" operator="greaterThan">
      <formula>10</formula>
    </cfRule>
    <cfRule type="cellIs" dxfId="57" priority="60" operator="greaterThan">
      <formula>0</formula>
    </cfRule>
  </conditionalFormatting>
  <conditionalFormatting sqref="D12 D42:D44 D39:D40 D36:D37 D15:D34">
    <cfRule type="cellIs" dxfId="56" priority="40" operator="greaterThan">
      <formula>0</formula>
    </cfRule>
    <cfRule type="cellIs" dxfId="55" priority="41" operator="greaterThan">
      <formula>10</formula>
    </cfRule>
    <cfRule type="cellIs" dxfId="54" priority="42" operator="greaterThan">
      <formula>0</formula>
    </cfRule>
  </conditionalFormatting>
  <conditionalFormatting sqref="D41">
    <cfRule type="cellIs" dxfId="53" priority="25" operator="greaterThan">
      <formula>0</formula>
    </cfRule>
    <cfRule type="cellIs" dxfId="52" priority="26" operator="greaterThan">
      <formula>10</formula>
    </cfRule>
    <cfRule type="cellIs" dxfId="51" priority="27" operator="greaterThan">
      <formula>0</formula>
    </cfRule>
  </conditionalFormatting>
  <conditionalFormatting sqref="D38">
    <cfRule type="cellIs" dxfId="50" priority="22" operator="greaterThan">
      <formula>0</formula>
    </cfRule>
    <cfRule type="cellIs" dxfId="49" priority="23" operator="greaterThan">
      <formula>10</formula>
    </cfRule>
    <cfRule type="cellIs" dxfId="48" priority="24" operator="greaterThan">
      <formula>0</formula>
    </cfRule>
  </conditionalFormatting>
  <conditionalFormatting sqref="D35">
    <cfRule type="cellIs" dxfId="47" priority="16" operator="greaterThan">
      <formula>0</formula>
    </cfRule>
    <cfRule type="cellIs" dxfId="46" priority="17" operator="greaterThan">
      <formula>10</formula>
    </cfRule>
    <cfRule type="cellIs" dxfId="45" priority="18" operator="greaterThan">
      <formula>0</formula>
    </cfRule>
  </conditionalFormatting>
  <conditionalFormatting sqref="D45:D61">
    <cfRule type="cellIs" dxfId="44" priority="13" operator="greaterThan">
      <formula>0</formula>
    </cfRule>
    <cfRule type="cellIs" dxfId="43" priority="14" operator="greaterThan">
      <formula>10</formula>
    </cfRule>
    <cfRule type="cellIs" dxfId="42" priority="15" operator="greaterThan">
      <formula>0</formula>
    </cfRule>
  </conditionalFormatting>
  <conditionalFormatting sqref="D13">
    <cfRule type="cellIs" dxfId="41" priority="10" operator="greaterThan">
      <formula>0</formula>
    </cfRule>
    <cfRule type="cellIs" dxfId="40" priority="11" operator="greaterThan">
      <formula>10</formula>
    </cfRule>
    <cfRule type="cellIs" dxfId="39" priority="12" operator="greaterThan">
      <formula>0</formula>
    </cfRule>
  </conditionalFormatting>
  <conditionalFormatting sqref="D56">
    <cfRule type="cellIs" dxfId="38" priority="7" operator="greaterThan">
      <formula>0</formula>
    </cfRule>
    <cfRule type="cellIs" dxfId="37" priority="8" operator="greaterThan">
      <formula>10</formula>
    </cfRule>
    <cfRule type="cellIs" dxfId="36" priority="9" operator="greaterThan">
      <formula>0</formula>
    </cfRule>
  </conditionalFormatting>
  <conditionalFormatting sqref="D14">
    <cfRule type="cellIs" dxfId="35" priority="4" operator="greaterThan">
      <formula>0</formula>
    </cfRule>
    <cfRule type="cellIs" dxfId="34" priority="5" operator="greaterThan">
      <formula>10</formula>
    </cfRule>
    <cfRule type="cellIs" dxfId="33" priority="6" operator="greaterThan">
      <formula>0</formula>
    </cfRule>
  </conditionalFormatting>
  <conditionalFormatting sqref="D62">
    <cfRule type="cellIs" dxfId="32" priority="1" operator="greaterThan">
      <formula>0</formula>
    </cfRule>
    <cfRule type="cellIs" dxfId="31" priority="2" operator="greaterThan">
      <formula>10</formula>
    </cfRule>
    <cfRule type="cellIs" dxfId="30" priority="3" operator="greaterThan">
      <formula>0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E84F3-6ECB-4F56-B910-756FD9B02F21}">
  <sheetPr>
    <pageSetUpPr fitToPage="1"/>
  </sheetPr>
  <dimension ref="A1:I76"/>
  <sheetViews>
    <sheetView topLeftCell="A42" zoomScale="70" zoomScaleNormal="70" workbookViewId="0">
      <selection activeCell="H12" sqref="H12:H73"/>
    </sheetView>
  </sheetViews>
  <sheetFormatPr baseColWidth="10" defaultRowHeight="15" x14ac:dyDescent="0.25"/>
  <cols>
    <col min="1" max="1" width="18.7109375" bestFit="1" customWidth="1"/>
    <col min="2" max="2" width="71.7109375" bestFit="1" customWidth="1"/>
    <col min="3" max="3" width="15.5703125" bestFit="1" customWidth="1"/>
    <col min="4" max="4" width="17.140625" bestFit="1" customWidth="1"/>
    <col min="5" max="5" width="22.42578125" bestFit="1" customWidth="1"/>
    <col min="6" max="6" width="26.42578125" bestFit="1" customWidth="1"/>
    <col min="7" max="7" width="41.28515625" bestFit="1" customWidth="1"/>
    <col min="8" max="8" width="22.42578125" bestFit="1" customWidth="1"/>
    <col min="9" max="9" width="18.140625" bestFit="1" customWidth="1"/>
  </cols>
  <sheetData>
    <row r="1" spans="1:9" ht="46.5" x14ac:dyDescent="0.7">
      <c r="A1" s="32" t="s">
        <v>12</v>
      </c>
      <c r="B1" s="33"/>
      <c r="C1" s="33"/>
      <c r="D1" s="33"/>
      <c r="E1" s="33"/>
      <c r="F1" s="34"/>
    </row>
    <row r="2" spans="1:9" ht="29.25" customHeight="1" x14ac:dyDescent="0.25">
      <c r="A2" s="38" t="s">
        <v>20</v>
      </c>
      <c r="B2" s="39"/>
      <c r="C2" s="39"/>
      <c r="D2" s="39"/>
      <c r="E2" s="39"/>
      <c r="F2" s="40"/>
    </row>
    <row r="3" spans="1:9" ht="47.25" thickBot="1" x14ac:dyDescent="0.3">
      <c r="A3" s="41" t="s">
        <v>19</v>
      </c>
      <c r="B3" s="42"/>
      <c r="C3" s="42"/>
      <c r="D3" s="42"/>
      <c r="E3" s="42"/>
      <c r="F3" s="43"/>
    </row>
    <row r="4" spans="1:9" ht="15.75" thickBot="1" x14ac:dyDescent="0.3"/>
    <row r="5" spans="1:9" ht="47.25" thickBot="1" x14ac:dyDescent="0.75">
      <c r="A5" s="35" t="s">
        <v>21</v>
      </c>
      <c r="B5" s="36"/>
      <c r="C5" s="36"/>
      <c r="D5" s="36"/>
      <c r="E5" s="36"/>
      <c r="F5" s="37"/>
    </row>
    <row r="7" spans="1:9" s="1" customFormat="1" ht="26.25" x14ac:dyDescent="0.4">
      <c r="A7" s="10" t="s">
        <v>22</v>
      </c>
      <c r="B7" s="16"/>
      <c r="D7" s="24"/>
      <c r="E7" s="47"/>
      <c r="F7" s="47"/>
    </row>
    <row r="8" spans="1:9" s="1" customFormat="1" ht="26.25" x14ac:dyDescent="0.4">
      <c r="A8" s="10" t="s">
        <v>23</v>
      </c>
      <c r="B8" s="10"/>
    </row>
    <row r="9" spans="1:9" s="1" customFormat="1" ht="26.25" x14ac:dyDescent="0.4">
      <c r="A9" s="10" t="s">
        <v>18</v>
      </c>
      <c r="B9" s="17" t="str">
        <f>+'BON DE PREPARATION'!B9</f>
        <v>08 07 2023</v>
      </c>
      <c r="D9" s="10" t="s">
        <v>17</v>
      </c>
      <c r="E9" s="46"/>
      <c r="F9" s="46"/>
    </row>
    <row r="11" spans="1:9" ht="24" x14ac:dyDescent="0.35">
      <c r="A11" s="2" t="s">
        <v>0</v>
      </c>
      <c r="B11" s="2" t="s">
        <v>1</v>
      </c>
      <c r="C11" s="11" t="s">
        <v>14</v>
      </c>
      <c r="D11" s="3" t="s">
        <v>2</v>
      </c>
      <c r="E11" s="3" t="s">
        <v>15</v>
      </c>
      <c r="F11" s="3" t="s">
        <v>3</v>
      </c>
      <c r="G11" s="3" t="s">
        <v>83</v>
      </c>
      <c r="H11" s="3" t="s">
        <v>85</v>
      </c>
      <c r="I11" s="3" t="s">
        <v>84</v>
      </c>
    </row>
    <row r="12" spans="1:9" ht="26.25" x14ac:dyDescent="0.25">
      <c r="A12" s="4">
        <v>2682282</v>
      </c>
      <c r="B12" s="5" t="s">
        <v>5</v>
      </c>
      <c r="C12" s="12">
        <v>4</v>
      </c>
      <c r="D12" s="19">
        <v>995</v>
      </c>
      <c r="E12" s="13"/>
      <c r="F12" s="6">
        <f t="shared" ref="F12:F40" si="0">C12*D12*E12</f>
        <v>0</v>
      </c>
      <c r="G12" s="6"/>
      <c r="H12" s="31">
        <v>0.06</v>
      </c>
      <c r="I12" s="6">
        <f>+H12*F12</f>
        <v>0</v>
      </c>
    </row>
    <row r="13" spans="1:9" ht="26.25" x14ac:dyDescent="0.25">
      <c r="A13" s="4">
        <v>3035219</v>
      </c>
      <c r="B13" s="5" t="s">
        <v>59</v>
      </c>
      <c r="C13" s="12">
        <v>4</v>
      </c>
      <c r="D13" s="19">
        <v>695</v>
      </c>
      <c r="E13" s="13"/>
      <c r="F13" s="6">
        <f t="shared" si="0"/>
        <v>0</v>
      </c>
      <c r="G13" s="6"/>
      <c r="H13" s="31">
        <v>0.04</v>
      </c>
      <c r="I13" s="6">
        <f t="shared" ref="I13:I73" si="1">+H13*F13</f>
        <v>0</v>
      </c>
    </row>
    <row r="14" spans="1:9" ht="30" customHeight="1" x14ac:dyDescent="0.25">
      <c r="A14" s="4">
        <v>3051094</v>
      </c>
      <c r="B14" s="5" t="s">
        <v>70</v>
      </c>
      <c r="C14" s="12">
        <v>6</v>
      </c>
      <c r="D14" s="19">
        <v>226</v>
      </c>
      <c r="E14" s="13"/>
      <c r="F14" s="6">
        <f t="shared" si="0"/>
        <v>0</v>
      </c>
      <c r="G14" s="6"/>
      <c r="H14" s="31">
        <v>0.04</v>
      </c>
      <c r="I14" s="6">
        <f t="shared" si="1"/>
        <v>0</v>
      </c>
    </row>
    <row r="15" spans="1:9" ht="26.25" x14ac:dyDescent="0.25">
      <c r="A15" s="4">
        <v>2823409</v>
      </c>
      <c r="B15" s="5" t="s">
        <v>6</v>
      </c>
      <c r="C15" s="12">
        <v>25</v>
      </c>
      <c r="D15" s="19">
        <v>90</v>
      </c>
      <c r="E15" s="13"/>
      <c r="F15" s="6">
        <f t="shared" si="0"/>
        <v>0</v>
      </c>
      <c r="G15" s="6"/>
      <c r="H15" s="31">
        <v>0.06</v>
      </c>
      <c r="I15" s="6">
        <f t="shared" si="1"/>
        <v>0</v>
      </c>
    </row>
    <row r="16" spans="1:9" ht="26.25" x14ac:dyDescent="0.25">
      <c r="A16" s="4">
        <v>3072722</v>
      </c>
      <c r="B16" s="5" t="s">
        <v>90</v>
      </c>
      <c r="C16" s="12">
        <v>12</v>
      </c>
      <c r="D16" s="19">
        <v>221</v>
      </c>
      <c r="E16" s="13"/>
      <c r="F16" s="6">
        <f t="shared" si="0"/>
        <v>0</v>
      </c>
      <c r="G16" s="6"/>
      <c r="H16" s="31"/>
      <c r="I16" s="6">
        <f t="shared" si="1"/>
        <v>0</v>
      </c>
    </row>
    <row r="17" spans="1:9" ht="26.25" x14ac:dyDescent="0.25">
      <c r="A17" s="4">
        <v>3022693</v>
      </c>
      <c r="B17" s="5" t="s">
        <v>58</v>
      </c>
      <c r="C17" s="12">
        <v>4</v>
      </c>
      <c r="D17" s="19">
        <v>595</v>
      </c>
      <c r="E17" s="13"/>
      <c r="F17" s="6">
        <f t="shared" si="0"/>
        <v>0</v>
      </c>
      <c r="G17" s="6"/>
      <c r="H17" s="31"/>
      <c r="I17" s="6">
        <f t="shared" si="1"/>
        <v>0</v>
      </c>
    </row>
    <row r="18" spans="1:9" ht="26.25" x14ac:dyDescent="0.25">
      <c r="A18" s="4">
        <v>2875891</v>
      </c>
      <c r="B18" s="5" t="s">
        <v>7</v>
      </c>
      <c r="C18" s="12">
        <v>25</v>
      </c>
      <c r="D18" s="19">
        <v>90</v>
      </c>
      <c r="E18" s="13"/>
      <c r="F18" s="6">
        <f t="shared" si="0"/>
        <v>0</v>
      </c>
      <c r="G18" s="6"/>
      <c r="H18" s="31">
        <v>0.06</v>
      </c>
      <c r="I18" s="6">
        <f t="shared" si="1"/>
        <v>0</v>
      </c>
    </row>
    <row r="19" spans="1:9" ht="26.25" x14ac:dyDescent="0.25">
      <c r="A19" s="4">
        <v>2875892</v>
      </c>
      <c r="B19" s="5" t="s">
        <v>8</v>
      </c>
      <c r="C19" s="12">
        <v>12</v>
      </c>
      <c r="D19" s="19">
        <v>213</v>
      </c>
      <c r="E19" s="13"/>
      <c r="F19" s="6">
        <f t="shared" si="0"/>
        <v>0</v>
      </c>
      <c r="G19" s="6"/>
      <c r="H19" s="31">
        <v>0.06</v>
      </c>
      <c r="I19" s="6">
        <f t="shared" si="1"/>
        <v>0</v>
      </c>
    </row>
    <row r="20" spans="1:9" ht="26.25" x14ac:dyDescent="0.25">
      <c r="A20" s="4">
        <v>2875893</v>
      </c>
      <c r="B20" s="5" t="s">
        <v>9</v>
      </c>
      <c r="C20" s="12">
        <v>8</v>
      </c>
      <c r="D20" s="19">
        <v>417</v>
      </c>
      <c r="E20" s="13"/>
      <c r="F20" s="6">
        <f t="shared" si="0"/>
        <v>0</v>
      </c>
      <c r="G20" s="6"/>
      <c r="H20" s="31">
        <v>0.06</v>
      </c>
      <c r="I20" s="6">
        <f t="shared" si="1"/>
        <v>0</v>
      </c>
    </row>
    <row r="21" spans="1:9" ht="26.25" x14ac:dyDescent="0.25">
      <c r="A21" s="4">
        <v>2910278</v>
      </c>
      <c r="B21" s="5" t="s">
        <v>10</v>
      </c>
      <c r="C21" s="12">
        <v>12</v>
      </c>
      <c r="D21" s="19">
        <v>123.5</v>
      </c>
      <c r="E21" s="13"/>
      <c r="F21" s="6">
        <f t="shared" si="0"/>
        <v>0</v>
      </c>
      <c r="G21" s="6"/>
      <c r="H21" s="31">
        <v>0.04</v>
      </c>
      <c r="I21" s="6">
        <f t="shared" si="1"/>
        <v>0</v>
      </c>
    </row>
    <row r="22" spans="1:9" ht="26.25" x14ac:dyDescent="0.25">
      <c r="A22" s="4">
        <v>2943549</v>
      </c>
      <c r="B22" s="5" t="s">
        <v>28</v>
      </c>
      <c r="C22" s="12">
        <v>12</v>
      </c>
      <c r="D22" s="19">
        <v>168</v>
      </c>
      <c r="E22" s="13"/>
      <c r="F22" s="6">
        <f t="shared" si="0"/>
        <v>0</v>
      </c>
      <c r="G22" s="6"/>
      <c r="H22" s="31"/>
      <c r="I22" s="6">
        <f t="shared" si="1"/>
        <v>0</v>
      </c>
    </row>
    <row r="23" spans="1:9" ht="26.25" x14ac:dyDescent="0.25">
      <c r="A23" s="4">
        <v>2951994</v>
      </c>
      <c r="B23" s="5" t="s">
        <v>29</v>
      </c>
      <c r="C23" s="12">
        <v>4</v>
      </c>
      <c r="D23" s="19">
        <v>810</v>
      </c>
      <c r="E23" s="13"/>
      <c r="F23" s="6">
        <f t="shared" si="0"/>
        <v>0</v>
      </c>
      <c r="G23" s="6"/>
      <c r="H23" s="31">
        <v>0.06</v>
      </c>
      <c r="I23" s="6">
        <f t="shared" si="1"/>
        <v>0</v>
      </c>
    </row>
    <row r="24" spans="1:9" ht="26.25" x14ac:dyDescent="0.25">
      <c r="A24" s="4">
        <v>2952074</v>
      </c>
      <c r="B24" s="5" t="s">
        <v>30</v>
      </c>
      <c r="C24" s="12">
        <v>4</v>
      </c>
      <c r="D24" s="19">
        <v>810</v>
      </c>
      <c r="E24" s="13"/>
      <c r="F24" s="6">
        <f t="shared" si="0"/>
        <v>0</v>
      </c>
      <c r="G24" s="6"/>
      <c r="H24" s="31">
        <v>0.06</v>
      </c>
      <c r="I24" s="6">
        <f t="shared" si="1"/>
        <v>0</v>
      </c>
    </row>
    <row r="25" spans="1:9" ht="26.25" x14ac:dyDescent="0.25">
      <c r="A25" s="4">
        <v>2952081</v>
      </c>
      <c r="B25" s="5" t="s">
        <v>31</v>
      </c>
      <c r="C25" s="12">
        <v>4</v>
      </c>
      <c r="D25" s="19">
        <v>810</v>
      </c>
      <c r="E25" s="13"/>
      <c r="F25" s="6">
        <f t="shared" si="0"/>
        <v>0</v>
      </c>
      <c r="G25" s="6"/>
      <c r="H25" s="31">
        <v>0.06</v>
      </c>
      <c r="I25" s="6">
        <f t="shared" si="1"/>
        <v>0</v>
      </c>
    </row>
    <row r="26" spans="1:9" ht="26.25" x14ac:dyDescent="0.25">
      <c r="A26" s="4">
        <v>2952089</v>
      </c>
      <c r="B26" s="5" t="s">
        <v>32</v>
      </c>
      <c r="C26" s="12">
        <v>10</v>
      </c>
      <c r="D26" s="19">
        <v>377</v>
      </c>
      <c r="E26" s="13"/>
      <c r="F26" s="6">
        <f t="shared" si="0"/>
        <v>0</v>
      </c>
      <c r="G26" s="6"/>
      <c r="H26" s="31">
        <v>0.06</v>
      </c>
      <c r="I26" s="6">
        <f t="shared" si="1"/>
        <v>0</v>
      </c>
    </row>
    <row r="27" spans="1:9" ht="30" customHeight="1" x14ac:dyDescent="0.25">
      <c r="A27" s="4">
        <v>2952090</v>
      </c>
      <c r="B27" s="5" t="s">
        <v>33</v>
      </c>
      <c r="C27" s="12">
        <v>10</v>
      </c>
      <c r="D27" s="19">
        <v>377</v>
      </c>
      <c r="E27" s="13"/>
      <c r="F27" s="6">
        <f t="shared" si="0"/>
        <v>0</v>
      </c>
      <c r="G27" s="6"/>
      <c r="H27" s="31">
        <v>0.06</v>
      </c>
      <c r="I27" s="6">
        <f t="shared" si="1"/>
        <v>0</v>
      </c>
    </row>
    <row r="28" spans="1:9" ht="30" customHeight="1" x14ac:dyDescent="0.25">
      <c r="A28" s="29">
        <v>3035242</v>
      </c>
      <c r="B28" s="30" t="s">
        <v>61</v>
      </c>
      <c r="C28" s="12">
        <v>3</v>
      </c>
      <c r="D28" s="19">
        <v>1145</v>
      </c>
      <c r="E28" s="13"/>
      <c r="F28" s="6">
        <f t="shared" si="0"/>
        <v>0</v>
      </c>
      <c r="G28" s="6"/>
      <c r="H28" s="31">
        <v>0.06</v>
      </c>
      <c r="I28" s="6">
        <f t="shared" si="1"/>
        <v>0</v>
      </c>
    </row>
    <row r="29" spans="1:9" ht="30" customHeight="1" x14ac:dyDescent="0.25">
      <c r="A29" s="4">
        <v>2958928</v>
      </c>
      <c r="B29" s="5" t="s">
        <v>34</v>
      </c>
      <c r="C29" s="12">
        <v>4</v>
      </c>
      <c r="D29" s="19">
        <v>792</v>
      </c>
      <c r="E29" s="13"/>
      <c r="F29" s="6">
        <f t="shared" si="0"/>
        <v>0</v>
      </c>
      <c r="G29" s="6"/>
      <c r="H29" s="31">
        <v>0.04</v>
      </c>
      <c r="I29" s="6">
        <f t="shared" si="1"/>
        <v>0</v>
      </c>
    </row>
    <row r="30" spans="1:9" ht="30" customHeight="1" x14ac:dyDescent="0.25">
      <c r="A30" s="4">
        <v>2958931</v>
      </c>
      <c r="B30" s="5" t="s">
        <v>35</v>
      </c>
      <c r="C30" s="12">
        <v>10</v>
      </c>
      <c r="D30" s="19">
        <v>331</v>
      </c>
      <c r="E30" s="13"/>
      <c r="F30" s="6">
        <f t="shared" si="0"/>
        <v>0</v>
      </c>
      <c r="G30" s="6"/>
      <c r="H30" s="31">
        <v>0.04</v>
      </c>
      <c r="I30" s="6">
        <f t="shared" si="1"/>
        <v>0</v>
      </c>
    </row>
    <row r="31" spans="1:9" ht="30" customHeight="1" x14ac:dyDescent="0.25">
      <c r="A31" s="4">
        <v>2958932</v>
      </c>
      <c r="B31" s="5" t="s">
        <v>36</v>
      </c>
      <c r="C31" s="12">
        <v>25</v>
      </c>
      <c r="D31" s="19">
        <v>100</v>
      </c>
      <c r="E31" s="13"/>
      <c r="F31" s="6">
        <f t="shared" si="0"/>
        <v>0</v>
      </c>
      <c r="G31" s="6"/>
      <c r="H31" s="31">
        <v>0.04</v>
      </c>
      <c r="I31" s="6">
        <f t="shared" si="1"/>
        <v>0</v>
      </c>
    </row>
    <row r="32" spans="1:9" ht="30" customHeight="1" x14ac:dyDescent="0.25">
      <c r="A32" s="4">
        <v>2958933</v>
      </c>
      <c r="B32" s="5" t="s">
        <v>37</v>
      </c>
      <c r="C32" s="12">
        <v>12</v>
      </c>
      <c r="D32" s="19">
        <v>233</v>
      </c>
      <c r="E32" s="13"/>
      <c r="F32" s="6">
        <f t="shared" si="0"/>
        <v>0</v>
      </c>
      <c r="G32" s="6"/>
      <c r="H32" s="31">
        <v>0.04</v>
      </c>
      <c r="I32" s="6">
        <f t="shared" si="1"/>
        <v>0</v>
      </c>
    </row>
    <row r="33" spans="1:9" ht="30" customHeight="1" x14ac:dyDescent="0.25">
      <c r="A33" s="4">
        <v>2970224</v>
      </c>
      <c r="B33" s="5" t="s">
        <v>38</v>
      </c>
      <c r="C33" s="12">
        <v>12</v>
      </c>
      <c r="D33" s="19">
        <v>284</v>
      </c>
      <c r="E33" s="13"/>
      <c r="F33" s="6">
        <f t="shared" si="0"/>
        <v>0</v>
      </c>
      <c r="G33" s="6"/>
      <c r="H33" s="31"/>
      <c r="I33" s="6">
        <f t="shared" si="1"/>
        <v>0</v>
      </c>
    </row>
    <row r="34" spans="1:9" ht="30" customHeight="1" x14ac:dyDescent="0.25">
      <c r="A34" s="4">
        <v>2970482</v>
      </c>
      <c r="B34" s="5" t="s">
        <v>39</v>
      </c>
      <c r="C34" s="12">
        <v>12</v>
      </c>
      <c r="D34" s="19">
        <v>168</v>
      </c>
      <c r="E34" s="13"/>
      <c r="F34" s="6">
        <f t="shared" si="0"/>
        <v>0</v>
      </c>
      <c r="G34" s="6"/>
      <c r="H34" s="31"/>
      <c r="I34" s="6">
        <f t="shared" si="1"/>
        <v>0</v>
      </c>
    </row>
    <row r="35" spans="1:9" ht="30" customHeight="1" x14ac:dyDescent="0.25">
      <c r="A35" s="4" t="s">
        <v>51</v>
      </c>
      <c r="B35" s="5" t="s">
        <v>52</v>
      </c>
      <c r="C35" s="12">
        <v>4</v>
      </c>
      <c r="D35" s="19">
        <v>664</v>
      </c>
      <c r="E35" s="13"/>
      <c r="F35" s="6">
        <f t="shared" ref="F35" si="2">C35*D35*E35</f>
        <v>0</v>
      </c>
      <c r="G35" s="6"/>
      <c r="H35" s="31"/>
      <c r="I35" s="6">
        <f t="shared" si="1"/>
        <v>0</v>
      </c>
    </row>
    <row r="36" spans="1:9" ht="30" customHeight="1" x14ac:dyDescent="0.25">
      <c r="A36" s="4">
        <v>2993253</v>
      </c>
      <c r="B36" s="5" t="s">
        <v>4</v>
      </c>
      <c r="C36" s="12">
        <v>10</v>
      </c>
      <c r="D36" s="19">
        <v>221</v>
      </c>
      <c r="E36" s="13"/>
      <c r="F36" s="6">
        <f t="shared" si="0"/>
        <v>0</v>
      </c>
      <c r="G36" s="6"/>
      <c r="H36" s="31"/>
      <c r="I36" s="6">
        <f t="shared" si="1"/>
        <v>0</v>
      </c>
    </row>
    <row r="37" spans="1:9" ht="30" customHeight="1" x14ac:dyDescent="0.25">
      <c r="A37" s="4">
        <v>2993256</v>
      </c>
      <c r="B37" s="5" t="s">
        <v>40</v>
      </c>
      <c r="C37" s="12">
        <v>25</v>
      </c>
      <c r="D37" s="19">
        <v>90</v>
      </c>
      <c r="E37" s="13"/>
      <c r="F37" s="6">
        <f t="shared" si="0"/>
        <v>0</v>
      </c>
      <c r="G37" s="6"/>
      <c r="H37" s="31">
        <v>0.06</v>
      </c>
      <c r="I37" s="6">
        <f t="shared" si="1"/>
        <v>0</v>
      </c>
    </row>
    <row r="38" spans="1:9" ht="30" customHeight="1" x14ac:dyDescent="0.25">
      <c r="A38" s="4">
        <v>3002104</v>
      </c>
      <c r="B38" s="5" t="s">
        <v>41</v>
      </c>
      <c r="C38" s="12">
        <v>4</v>
      </c>
      <c r="D38" s="19">
        <v>723</v>
      </c>
      <c r="E38" s="13"/>
      <c r="F38" s="6">
        <f t="shared" si="0"/>
        <v>0</v>
      </c>
      <c r="G38" s="6"/>
      <c r="H38" s="31">
        <v>0.04</v>
      </c>
      <c r="I38" s="6">
        <f t="shared" si="1"/>
        <v>0</v>
      </c>
    </row>
    <row r="39" spans="1:9" ht="30" customHeight="1" x14ac:dyDescent="0.25">
      <c r="A39" s="4">
        <v>3004676</v>
      </c>
      <c r="B39" s="5" t="s">
        <v>42</v>
      </c>
      <c r="C39" s="12">
        <v>4</v>
      </c>
      <c r="D39" s="19">
        <v>510</v>
      </c>
      <c r="E39" s="13"/>
      <c r="F39" s="6">
        <f t="shared" si="0"/>
        <v>0</v>
      </c>
      <c r="G39" s="6"/>
      <c r="H39" s="31">
        <v>0.04</v>
      </c>
      <c r="I39" s="6">
        <f t="shared" si="1"/>
        <v>0</v>
      </c>
    </row>
    <row r="40" spans="1:9" ht="26.25" x14ac:dyDescent="0.25">
      <c r="A40" s="4">
        <v>3004679</v>
      </c>
      <c r="B40" s="5" t="s">
        <v>43</v>
      </c>
      <c r="C40" s="12">
        <v>10</v>
      </c>
      <c r="D40" s="19">
        <v>265</v>
      </c>
      <c r="E40" s="13"/>
      <c r="F40" s="6">
        <f t="shared" si="0"/>
        <v>0</v>
      </c>
      <c r="G40" s="6"/>
      <c r="H40" s="31">
        <v>0.04</v>
      </c>
      <c r="I40" s="6">
        <f t="shared" si="1"/>
        <v>0</v>
      </c>
    </row>
    <row r="41" spans="1:9" ht="26.25" x14ac:dyDescent="0.25">
      <c r="A41" s="4" t="s">
        <v>47</v>
      </c>
      <c r="B41" s="5" t="s">
        <v>48</v>
      </c>
      <c r="C41" s="12">
        <v>12</v>
      </c>
      <c r="D41" s="19">
        <v>86</v>
      </c>
      <c r="E41" s="13"/>
      <c r="F41" s="6">
        <f t="shared" ref="F41:F58" si="3">C41*D41*E41</f>
        <v>0</v>
      </c>
      <c r="G41" s="6"/>
      <c r="H41" s="31">
        <v>0.04</v>
      </c>
      <c r="I41" s="6">
        <f t="shared" si="1"/>
        <v>0</v>
      </c>
    </row>
    <row r="42" spans="1:9" ht="30" customHeight="1" x14ac:dyDescent="0.25">
      <c r="A42" s="4">
        <v>3013691</v>
      </c>
      <c r="B42" s="18" t="s">
        <v>46</v>
      </c>
      <c r="C42" s="21">
        <v>6</v>
      </c>
      <c r="D42" s="19">
        <v>154</v>
      </c>
      <c r="E42" s="13"/>
      <c r="F42" s="6">
        <f t="shared" si="3"/>
        <v>0</v>
      </c>
      <c r="G42" s="6"/>
      <c r="H42" s="31">
        <v>0.04</v>
      </c>
      <c r="I42" s="6">
        <f t="shared" si="1"/>
        <v>0</v>
      </c>
    </row>
    <row r="43" spans="1:9" ht="30" customHeight="1" x14ac:dyDescent="0.25">
      <c r="A43" s="4">
        <v>3013692</v>
      </c>
      <c r="B43" s="18" t="s">
        <v>44</v>
      </c>
      <c r="C43" s="21">
        <v>12</v>
      </c>
      <c r="D43" s="19">
        <v>284</v>
      </c>
      <c r="E43" s="13"/>
      <c r="F43" s="6">
        <f t="shared" si="3"/>
        <v>0</v>
      </c>
      <c r="G43" s="6"/>
      <c r="H43" s="31"/>
      <c r="I43" s="6">
        <f t="shared" si="1"/>
        <v>0</v>
      </c>
    </row>
    <row r="44" spans="1:9" ht="30" customHeight="1" x14ac:dyDescent="0.25">
      <c r="A44" s="22">
        <v>3014424</v>
      </c>
      <c r="B44" s="18" t="s">
        <v>45</v>
      </c>
      <c r="C44" s="21">
        <v>10</v>
      </c>
      <c r="D44" s="19">
        <v>426</v>
      </c>
      <c r="E44" s="13"/>
      <c r="F44" s="6">
        <f t="shared" si="3"/>
        <v>0</v>
      </c>
      <c r="G44" s="6"/>
      <c r="H44" s="31"/>
      <c r="I44" s="6">
        <f t="shared" si="1"/>
        <v>0</v>
      </c>
    </row>
    <row r="45" spans="1:9" ht="30" customHeight="1" x14ac:dyDescent="0.25">
      <c r="A45" s="28">
        <v>3019788</v>
      </c>
      <c r="B45" s="18" t="s">
        <v>53</v>
      </c>
      <c r="C45" s="27">
        <v>12</v>
      </c>
      <c r="D45" s="19">
        <v>267</v>
      </c>
      <c r="E45" s="13"/>
      <c r="F45" s="6">
        <f t="shared" si="3"/>
        <v>0</v>
      </c>
      <c r="G45" s="6"/>
      <c r="H45" s="31"/>
      <c r="I45" s="6">
        <f t="shared" si="1"/>
        <v>0</v>
      </c>
    </row>
    <row r="46" spans="1:9" ht="30" customHeight="1" x14ac:dyDescent="0.25">
      <c r="A46" s="28">
        <v>3019789</v>
      </c>
      <c r="B46" s="18" t="s">
        <v>54</v>
      </c>
      <c r="C46" s="27">
        <v>12</v>
      </c>
      <c r="D46" s="19">
        <v>267</v>
      </c>
      <c r="E46" s="13"/>
      <c r="F46" s="6">
        <f t="shared" si="3"/>
        <v>0</v>
      </c>
      <c r="G46" s="6"/>
      <c r="H46" s="31"/>
      <c r="I46" s="6">
        <f t="shared" si="1"/>
        <v>0</v>
      </c>
    </row>
    <row r="47" spans="1:9" ht="30" customHeight="1" x14ac:dyDescent="0.25">
      <c r="A47" s="28">
        <v>3019821</v>
      </c>
      <c r="B47" s="18" t="s">
        <v>55</v>
      </c>
      <c r="C47" s="27">
        <v>12</v>
      </c>
      <c r="D47" s="19">
        <v>156</v>
      </c>
      <c r="E47" s="13"/>
      <c r="F47" s="6">
        <f t="shared" si="3"/>
        <v>0</v>
      </c>
      <c r="G47" s="6"/>
      <c r="H47" s="31"/>
      <c r="I47" s="6">
        <f t="shared" si="1"/>
        <v>0</v>
      </c>
    </row>
    <row r="48" spans="1:9" ht="30" customHeight="1" x14ac:dyDescent="0.25">
      <c r="A48" s="28">
        <v>3019822</v>
      </c>
      <c r="B48" s="18" t="s">
        <v>56</v>
      </c>
      <c r="C48" s="27">
        <v>12</v>
      </c>
      <c r="D48" s="19">
        <v>156</v>
      </c>
      <c r="E48" s="13"/>
      <c r="F48" s="6">
        <f t="shared" si="3"/>
        <v>0</v>
      </c>
      <c r="G48" s="6"/>
      <c r="H48" s="31"/>
      <c r="I48" s="6">
        <f t="shared" si="1"/>
        <v>0</v>
      </c>
    </row>
    <row r="49" spans="1:9" ht="30" customHeight="1" x14ac:dyDescent="0.25">
      <c r="A49" s="22">
        <v>3023685</v>
      </c>
      <c r="B49" s="18" t="s">
        <v>62</v>
      </c>
      <c r="C49" s="21">
        <v>12</v>
      </c>
      <c r="D49" s="19">
        <v>151</v>
      </c>
      <c r="E49" s="13"/>
      <c r="F49" s="6">
        <f t="shared" si="3"/>
        <v>0</v>
      </c>
      <c r="G49" s="6"/>
      <c r="H49" s="31">
        <v>0.06</v>
      </c>
      <c r="I49" s="6">
        <f t="shared" si="1"/>
        <v>0</v>
      </c>
    </row>
    <row r="50" spans="1:9" ht="30" customHeight="1" x14ac:dyDescent="0.25">
      <c r="A50" s="22">
        <v>3023684</v>
      </c>
      <c r="B50" s="18" t="s">
        <v>63</v>
      </c>
      <c r="C50" s="21">
        <v>12</v>
      </c>
      <c r="D50" s="19">
        <v>151</v>
      </c>
      <c r="E50" s="13"/>
      <c r="F50" s="6">
        <f t="shared" si="3"/>
        <v>0</v>
      </c>
      <c r="G50" s="6"/>
      <c r="H50" s="31">
        <v>0.06</v>
      </c>
      <c r="I50" s="6">
        <f t="shared" si="1"/>
        <v>0</v>
      </c>
    </row>
    <row r="51" spans="1:9" ht="30" customHeight="1" x14ac:dyDescent="0.25">
      <c r="A51" s="22">
        <v>3021473</v>
      </c>
      <c r="B51" s="18" t="s">
        <v>64</v>
      </c>
      <c r="C51" s="21">
        <v>12</v>
      </c>
      <c r="D51" s="19">
        <v>151</v>
      </c>
      <c r="E51" s="13"/>
      <c r="F51" s="6">
        <f t="shared" si="3"/>
        <v>0</v>
      </c>
      <c r="G51" s="6"/>
      <c r="H51" s="31">
        <v>0.06</v>
      </c>
      <c r="I51" s="6">
        <f t="shared" si="1"/>
        <v>0</v>
      </c>
    </row>
    <row r="52" spans="1:9" ht="30" customHeight="1" x14ac:dyDescent="0.25">
      <c r="A52" s="22">
        <v>3030417</v>
      </c>
      <c r="B52" s="18" t="s">
        <v>49</v>
      </c>
      <c r="C52" s="27">
        <v>12</v>
      </c>
      <c r="D52" s="19">
        <v>213</v>
      </c>
      <c r="E52" s="13"/>
      <c r="F52" s="6">
        <f t="shared" si="3"/>
        <v>0</v>
      </c>
      <c r="G52" s="6"/>
      <c r="H52" s="31">
        <v>0.06</v>
      </c>
      <c r="I52" s="6">
        <f t="shared" si="1"/>
        <v>0</v>
      </c>
    </row>
    <row r="53" spans="1:9" ht="30" customHeight="1" x14ac:dyDescent="0.25">
      <c r="A53" s="22">
        <v>3030426</v>
      </c>
      <c r="B53" s="18" t="s">
        <v>50</v>
      </c>
      <c r="C53" s="27">
        <v>8</v>
      </c>
      <c r="D53" s="19">
        <v>415</v>
      </c>
      <c r="E53" s="13"/>
      <c r="F53" s="6">
        <f t="shared" si="3"/>
        <v>0</v>
      </c>
      <c r="G53" s="6"/>
      <c r="H53" s="31">
        <v>0.04</v>
      </c>
      <c r="I53" s="6">
        <f t="shared" si="1"/>
        <v>0</v>
      </c>
    </row>
    <row r="54" spans="1:9" ht="30" customHeight="1" x14ac:dyDescent="0.25">
      <c r="A54" s="26">
        <v>3030254</v>
      </c>
      <c r="B54" s="18" t="s">
        <v>57</v>
      </c>
      <c r="C54" s="27">
        <v>4</v>
      </c>
      <c r="D54" s="19">
        <v>605</v>
      </c>
      <c r="E54" s="13"/>
      <c r="F54" s="6">
        <f t="shared" si="3"/>
        <v>0</v>
      </c>
      <c r="G54" s="6"/>
      <c r="H54" s="31">
        <v>0.04</v>
      </c>
      <c r="I54" s="6">
        <f t="shared" si="1"/>
        <v>0</v>
      </c>
    </row>
    <row r="55" spans="1:9" ht="30" customHeight="1" x14ac:dyDescent="0.25">
      <c r="A55" s="26">
        <v>3075606</v>
      </c>
      <c r="B55" s="18" t="s">
        <v>88</v>
      </c>
      <c r="C55" s="27">
        <v>12</v>
      </c>
      <c r="D55" s="19">
        <v>168</v>
      </c>
      <c r="E55" s="13"/>
      <c r="F55" s="6">
        <f t="shared" si="3"/>
        <v>0</v>
      </c>
      <c r="G55" s="6"/>
      <c r="H55" s="31"/>
      <c r="I55" s="6">
        <f t="shared" si="1"/>
        <v>0</v>
      </c>
    </row>
    <row r="56" spans="1:9" ht="30" customHeight="1" x14ac:dyDescent="0.25">
      <c r="A56" s="26">
        <v>3051115</v>
      </c>
      <c r="B56" s="18" t="s">
        <v>65</v>
      </c>
      <c r="C56" s="27">
        <v>12</v>
      </c>
      <c r="D56" s="19">
        <v>233</v>
      </c>
      <c r="E56" s="13"/>
      <c r="F56" s="6">
        <f t="shared" si="3"/>
        <v>0</v>
      </c>
      <c r="G56" s="6"/>
      <c r="H56" s="31">
        <v>0.04</v>
      </c>
      <c r="I56" s="6">
        <f t="shared" si="1"/>
        <v>0</v>
      </c>
    </row>
    <row r="57" spans="1:9" ht="30" customHeight="1" x14ac:dyDescent="0.25">
      <c r="A57" s="26">
        <v>3051116</v>
      </c>
      <c r="B57" s="18" t="s">
        <v>66</v>
      </c>
      <c r="C57" s="27">
        <v>25</v>
      </c>
      <c r="D57" s="19">
        <v>100</v>
      </c>
      <c r="E57" s="13"/>
      <c r="F57" s="6">
        <f t="shared" si="3"/>
        <v>0</v>
      </c>
      <c r="G57" s="6"/>
      <c r="H57" s="31">
        <v>0.04</v>
      </c>
      <c r="I57" s="6">
        <f t="shared" si="1"/>
        <v>0</v>
      </c>
    </row>
    <row r="58" spans="1:9" ht="30" customHeight="1" x14ac:dyDescent="0.25">
      <c r="A58" s="26">
        <v>3020036</v>
      </c>
      <c r="B58" s="18" t="s">
        <v>67</v>
      </c>
      <c r="C58" s="27">
        <v>4</v>
      </c>
      <c r="D58" s="19">
        <v>725</v>
      </c>
      <c r="E58" s="13"/>
      <c r="F58" s="6">
        <f t="shared" si="3"/>
        <v>0</v>
      </c>
      <c r="G58" s="6"/>
      <c r="H58" s="31">
        <v>0.06</v>
      </c>
      <c r="I58" s="6">
        <f t="shared" si="1"/>
        <v>0</v>
      </c>
    </row>
    <row r="59" spans="1:9" ht="30" customHeight="1" x14ac:dyDescent="0.25">
      <c r="A59" s="26">
        <v>3020066</v>
      </c>
      <c r="B59" s="18" t="s">
        <v>68</v>
      </c>
      <c r="C59" s="27">
        <v>4</v>
      </c>
      <c r="D59" s="19">
        <v>725</v>
      </c>
      <c r="E59" s="13"/>
      <c r="F59" s="6">
        <f t="shared" ref="F59:F69" si="4">C59*D59*E59</f>
        <v>0</v>
      </c>
      <c r="G59" s="6"/>
      <c r="H59" s="31">
        <v>0.06</v>
      </c>
      <c r="I59" s="6">
        <f t="shared" si="1"/>
        <v>0</v>
      </c>
    </row>
    <row r="60" spans="1:9" ht="30" customHeight="1" x14ac:dyDescent="0.25">
      <c r="A60" s="26">
        <v>3021054</v>
      </c>
      <c r="B60" s="18" t="s">
        <v>69</v>
      </c>
      <c r="C60" s="27">
        <v>4</v>
      </c>
      <c r="D60" s="19">
        <v>725</v>
      </c>
      <c r="E60" s="13"/>
      <c r="F60" s="6">
        <f t="shared" ref="F60:F61" si="5">C60*D60*E60</f>
        <v>0</v>
      </c>
      <c r="G60" s="6"/>
      <c r="H60" s="31">
        <v>0.06</v>
      </c>
      <c r="I60" s="6">
        <f t="shared" si="1"/>
        <v>0</v>
      </c>
    </row>
    <row r="61" spans="1:9" ht="30" customHeight="1" x14ac:dyDescent="0.25">
      <c r="A61" s="26">
        <v>3091334</v>
      </c>
      <c r="B61" s="18" t="s">
        <v>79</v>
      </c>
      <c r="C61" s="27">
        <v>4</v>
      </c>
      <c r="D61" s="19">
        <v>510</v>
      </c>
      <c r="E61" s="13"/>
      <c r="F61" s="6">
        <f t="shared" si="5"/>
        <v>0</v>
      </c>
      <c r="G61" s="6"/>
      <c r="H61" s="31">
        <v>0.04</v>
      </c>
      <c r="I61" s="6">
        <f t="shared" si="1"/>
        <v>0</v>
      </c>
    </row>
    <row r="62" spans="1:9" ht="30" customHeight="1" x14ac:dyDescent="0.25">
      <c r="A62" s="26">
        <v>3026745</v>
      </c>
      <c r="B62" s="18" t="s">
        <v>74</v>
      </c>
      <c r="C62" s="27">
        <v>12</v>
      </c>
      <c r="D62" s="19">
        <v>378.5</v>
      </c>
      <c r="E62" s="13"/>
      <c r="F62" s="6">
        <f t="shared" ref="F62:F63" si="6">C62*D62*E62</f>
        <v>0</v>
      </c>
      <c r="G62" s="6"/>
      <c r="H62" s="31">
        <v>0.04</v>
      </c>
      <c r="I62" s="6">
        <f t="shared" ref="I62:I63" si="7">+H62*F62</f>
        <v>0</v>
      </c>
    </row>
    <row r="63" spans="1:9" ht="30" customHeight="1" x14ac:dyDescent="0.25">
      <c r="A63" s="26">
        <v>3026747</v>
      </c>
      <c r="B63" s="18" t="s">
        <v>71</v>
      </c>
      <c r="C63" s="27">
        <v>12</v>
      </c>
      <c r="D63" s="19">
        <v>378.5</v>
      </c>
      <c r="E63" s="13"/>
      <c r="F63" s="6">
        <f t="shared" si="6"/>
        <v>0</v>
      </c>
      <c r="G63" s="6"/>
      <c r="H63" s="31">
        <v>0.04</v>
      </c>
      <c r="I63" s="6">
        <f t="shared" si="7"/>
        <v>0</v>
      </c>
    </row>
    <row r="64" spans="1:9" ht="30" customHeight="1" x14ac:dyDescent="0.25">
      <c r="A64" s="26">
        <v>3026748</v>
      </c>
      <c r="B64" s="18" t="s">
        <v>72</v>
      </c>
      <c r="C64" s="27">
        <v>12</v>
      </c>
      <c r="D64" s="19">
        <v>378.5</v>
      </c>
      <c r="E64" s="19"/>
      <c r="F64" s="6">
        <f t="shared" si="4"/>
        <v>0</v>
      </c>
      <c r="G64" s="6"/>
      <c r="H64" s="31">
        <v>0.04</v>
      </c>
      <c r="I64" s="6">
        <f t="shared" si="1"/>
        <v>0</v>
      </c>
    </row>
    <row r="65" spans="1:9" ht="30" customHeight="1" x14ac:dyDescent="0.25">
      <c r="A65" s="26">
        <v>3026746</v>
      </c>
      <c r="B65" s="18" t="s">
        <v>73</v>
      </c>
      <c r="C65" s="27">
        <v>12</v>
      </c>
      <c r="D65" s="19">
        <v>378.5</v>
      </c>
      <c r="E65" s="19"/>
      <c r="F65" s="6">
        <f t="shared" si="4"/>
        <v>0</v>
      </c>
      <c r="G65" s="6"/>
      <c r="H65" s="31">
        <v>0.04</v>
      </c>
      <c r="I65" s="6">
        <f t="shared" si="1"/>
        <v>0</v>
      </c>
    </row>
    <row r="66" spans="1:9" ht="30" customHeight="1" x14ac:dyDescent="0.25">
      <c r="A66" s="26">
        <v>3026749</v>
      </c>
      <c r="B66" s="18" t="s">
        <v>75</v>
      </c>
      <c r="C66" s="27">
        <v>6</v>
      </c>
      <c r="D66" s="19">
        <v>379</v>
      </c>
      <c r="E66" s="19"/>
      <c r="F66" s="6">
        <f t="shared" si="4"/>
        <v>0</v>
      </c>
      <c r="G66" s="6"/>
      <c r="H66" s="31">
        <v>0.04</v>
      </c>
      <c r="I66" s="6">
        <f t="shared" si="1"/>
        <v>0</v>
      </c>
    </row>
    <row r="67" spans="1:9" ht="30" customHeight="1" x14ac:dyDescent="0.25">
      <c r="A67" s="26">
        <v>3026771</v>
      </c>
      <c r="B67" s="18" t="s">
        <v>76</v>
      </c>
      <c r="C67" s="27">
        <v>6</v>
      </c>
      <c r="D67" s="19">
        <v>379</v>
      </c>
      <c r="E67" s="19"/>
      <c r="F67" s="6">
        <f t="shared" si="4"/>
        <v>0</v>
      </c>
      <c r="G67" s="6"/>
      <c r="H67" s="31">
        <v>0.04</v>
      </c>
      <c r="I67" s="6">
        <f t="shared" si="1"/>
        <v>0</v>
      </c>
    </row>
    <row r="68" spans="1:9" ht="30" customHeight="1" x14ac:dyDescent="0.25">
      <c r="A68" s="26">
        <v>3026772</v>
      </c>
      <c r="B68" s="18" t="s">
        <v>77</v>
      </c>
      <c r="C68" s="27">
        <v>6</v>
      </c>
      <c r="D68" s="19">
        <v>379</v>
      </c>
      <c r="E68" s="19"/>
      <c r="F68" s="6">
        <f t="shared" si="4"/>
        <v>0</v>
      </c>
      <c r="G68" s="6"/>
      <c r="H68" s="31">
        <v>0.04</v>
      </c>
      <c r="I68" s="6">
        <f t="shared" si="1"/>
        <v>0</v>
      </c>
    </row>
    <row r="69" spans="1:9" ht="30" customHeight="1" x14ac:dyDescent="0.25">
      <c r="A69" s="26">
        <v>3026750</v>
      </c>
      <c r="B69" s="18" t="s">
        <v>78</v>
      </c>
      <c r="C69" s="27">
        <v>6</v>
      </c>
      <c r="D69" s="19">
        <v>379</v>
      </c>
      <c r="E69" s="19"/>
      <c r="F69" s="6">
        <f t="shared" si="4"/>
        <v>0</v>
      </c>
      <c r="G69" s="6"/>
      <c r="H69" s="31">
        <v>0.04</v>
      </c>
      <c r="I69" s="6">
        <f t="shared" si="1"/>
        <v>0</v>
      </c>
    </row>
    <row r="70" spans="1:9" ht="30" customHeight="1" x14ac:dyDescent="0.25">
      <c r="A70" s="26">
        <v>1250001</v>
      </c>
      <c r="B70" s="18" t="s">
        <v>80</v>
      </c>
      <c r="C70" s="27">
        <v>4</v>
      </c>
      <c r="D70" s="19">
        <v>725</v>
      </c>
      <c r="E70" s="19"/>
      <c r="F70" s="6">
        <f t="shared" ref="F70:F73" si="8">C70*D70*E70</f>
        <v>0</v>
      </c>
      <c r="G70" s="6"/>
      <c r="H70" s="31">
        <v>0.06</v>
      </c>
      <c r="I70" s="6">
        <f t="shared" si="1"/>
        <v>0</v>
      </c>
    </row>
    <row r="71" spans="1:9" ht="30" customHeight="1" x14ac:dyDescent="0.25">
      <c r="A71" s="26">
        <v>1250002</v>
      </c>
      <c r="B71" s="18" t="s">
        <v>81</v>
      </c>
      <c r="C71" s="27">
        <v>4</v>
      </c>
      <c r="D71" s="19">
        <v>725</v>
      </c>
      <c r="E71" s="19"/>
      <c r="F71" s="6">
        <f t="shared" si="8"/>
        <v>0</v>
      </c>
      <c r="G71" s="6"/>
      <c r="H71" s="31">
        <v>0.06</v>
      </c>
      <c r="I71" s="6">
        <f t="shared" si="1"/>
        <v>0</v>
      </c>
    </row>
    <row r="72" spans="1:9" ht="30" customHeight="1" x14ac:dyDescent="0.25">
      <c r="A72" s="26">
        <v>1250003</v>
      </c>
      <c r="B72" s="18" t="s">
        <v>82</v>
      </c>
      <c r="C72" s="27">
        <v>4</v>
      </c>
      <c r="D72" s="19">
        <v>725</v>
      </c>
      <c r="E72" s="19"/>
      <c r="F72" s="6">
        <f t="shared" si="8"/>
        <v>0</v>
      </c>
      <c r="G72" s="6"/>
      <c r="H72" s="31">
        <v>0.06</v>
      </c>
      <c r="I72" s="6">
        <f t="shared" si="1"/>
        <v>0</v>
      </c>
    </row>
    <row r="73" spans="1:9" ht="30" customHeight="1" x14ac:dyDescent="0.25">
      <c r="A73" s="26">
        <v>3072880</v>
      </c>
      <c r="B73" s="18" t="s">
        <v>89</v>
      </c>
      <c r="C73" s="27">
        <v>12</v>
      </c>
      <c r="D73" s="19">
        <v>284</v>
      </c>
      <c r="E73" s="19"/>
      <c r="F73" s="6">
        <f t="shared" si="8"/>
        <v>0</v>
      </c>
      <c r="G73" s="6"/>
      <c r="H73" s="31"/>
      <c r="I73" s="6">
        <f t="shared" si="1"/>
        <v>0</v>
      </c>
    </row>
    <row r="74" spans="1:9" ht="42.75" customHeight="1" x14ac:dyDescent="0.35">
      <c r="A74" s="7"/>
      <c r="B74" s="44" t="s">
        <v>11</v>
      </c>
      <c r="C74" s="45"/>
      <c r="D74" s="9">
        <f>SUM(E14:E73)</f>
        <v>0</v>
      </c>
      <c r="E74" s="8" t="s">
        <v>60</v>
      </c>
      <c r="F74" s="15">
        <f>SUM(F12:F73)</f>
        <v>0</v>
      </c>
      <c r="G74" s="15">
        <f>SUM(G12:G73)</f>
        <v>0</v>
      </c>
      <c r="H74" s="15"/>
      <c r="I74" s="15">
        <f>SUM(I12:I73)</f>
        <v>0</v>
      </c>
    </row>
    <row r="75" spans="1:9" ht="24" x14ac:dyDescent="0.25">
      <c r="E75" s="8" t="s">
        <v>86</v>
      </c>
      <c r="F75" s="15">
        <f>+I74</f>
        <v>0</v>
      </c>
    </row>
    <row r="76" spans="1:9" ht="24" x14ac:dyDescent="0.25">
      <c r="E76" s="8" t="s">
        <v>87</v>
      </c>
      <c r="F76" s="15">
        <f>+F74-F75</f>
        <v>0</v>
      </c>
    </row>
  </sheetData>
  <mergeCells count="7">
    <mergeCell ref="B74:C74"/>
    <mergeCell ref="A1:F1"/>
    <mergeCell ref="A2:F2"/>
    <mergeCell ref="A3:F3"/>
    <mergeCell ref="A5:F5"/>
    <mergeCell ref="E7:F7"/>
    <mergeCell ref="E9:F9"/>
  </mergeCells>
  <conditionalFormatting sqref="D63:D74 E12:E73">
    <cfRule type="cellIs" dxfId="29" priority="58" operator="greaterThan">
      <formula>0</formula>
    </cfRule>
    <cfRule type="cellIs" dxfId="28" priority="59" operator="greaterThan">
      <formula>10</formula>
    </cfRule>
    <cfRule type="cellIs" dxfId="27" priority="60" operator="greaterThan">
      <formula>0</formula>
    </cfRule>
  </conditionalFormatting>
  <conditionalFormatting sqref="D12 D42:D44 D39:D40 D36:D37 D15:D34">
    <cfRule type="cellIs" dxfId="26" priority="40" operator="greaterThan">
      <formula>0</formula>
    </cfRule>
    <cfRule type="cellIs" dxfId="25" priority="41" operator="greaterThan">
      <formula>10</formula>
    </cfRule>
    <cfRule type="cellIs" dxfId="24" priority="42" operator="greaterThan">
      <formula>0</formula>
    </cfRule>
  </conditionalFormatting>
  <conditionalFormatting sqref="D41">
    <cfRule type="cellIs" dxfId="23" priority="25" operator="greaterThan">
      <formula>0</formula>
    </cfRule>
    <cfRule type="cellIs" dxfId="22" priority="26" operator="greaterThan">
      <formula>10</formula>
    </cfRule>
    <cfRule type="cellIs" dxfId="21" priority="27" operator="greaterThan">
      <formula>0</formula>
    </cfRule>
  </conditionalFormatting>
  <conditionalFormatting sqref="D38">
    <cfRule type="cellIs" dxfId="20" priority="22" operator="greaterThan">
      <formula>0</formula>
    </cfRule>
    <cfRule type="cellIs" dxfId="19" priority="23" operator="greaterThan">
      <formula>10</formula>
    </cfRule>
    <cfRule type="cellIs" dxfId="18" priority="24" operator="greaterThan">
      <formula>0</formula>
    </cfRule>
  </conditionalFormatting>
  <conditionalFormatting sqref="D35">
    <cfRule type="cellIs" dxfId="17" priority="16" operator="greaterThan">
      <formula>0</formula>
    </cfRule>
    <cfRule type="cellIs" dxfId="16" priority="17" operator="greaterThan">
      <formula>10</formula>
    </cfRule>
    <cfRule type="cellIs" dxfId="15" priority="18" operator="greaterThan">
      <formula>0</formula>
    </cfRule>
  </conditionalFormatting>
  <conditionalFormatting sqref="D45:D61">
    <cfRule type="cellIs" dxfId="14" priority="13" operator="greaterThan">
      <formula>0</formula>
    </cfRule>
    <cfRule type="cellIs" dxfId="13" priority="14" operator="greaterThan">
      <formula>10</formula>
    </cfRule>
    <cfRule type="cellIs" dxfId="12" priority="15" operator="greaterThan">
      <formula>0</formula>
    </cfRule>
  </conditionalFormatting>
  <conditionalFormatting sqref="D13">
    <cfRule type="cellIs" dxfId="11" priority="10" operator="greaterThan">
      <formula>0</formula>
    </cfRule>
    <cfRule type="cellIs" dxfId="10" priority="11" operator="greaterThan">
      <formula>10</formula>
    </cfRule>
    <cfRule type="cellIs" dxfId="9" priority="12" operator="greaterThan">
      <formula>0</formula>
    </cfRule>
  </conditionalFormatting>
  <conditionalFormatting sqref="D56">
    <cfRule type="cellIs" dxfId="8" priority="7" operator="greaterThan">
      <formula>0</formula>
    </cfRule>
    <cfRule type="cellIs" dxfId="7" priority="8" operator="greaterThan">
      <formula>10</formula>
    </cfRule>
    <cfRule type="cellIs" dxfId="6" priority="9" operator="greaterThan">
      <formula>0</formula>
    </cfRule>
  </conditionalFormatting>
  <conditionalFormatting sqref="D14">
    <cfRule type="cellIs" dxfId="5" priority="4" operator="greaterThan">
      <formula>0</formula>
    </cfRule>
    <cfRule type="cellIs" dxfId="4" priority="5" operator="greaterThan">
      <formula>10</formula>
    </cfRule>
    <cfRule type="cellIs" dxfId="3" priority="6" operator="greaterThan">
      <formula>0</formula>
    </cfRule>
  </conditionalFormatting>
  <conditionalFormatting sqref="D62">
    <cfRule type="cellIs" dxfId="2" priority="1" operator="greaterThan">
      <formula>0</formula>
    </cfRule>
    <cfRule type="cellIs" dxfId="1" priority="2" operator="greaterThan">
      <formula>10</formula>
    </cfRule>
    <cfRule type="cellIs" dxfId="0" priority="3" operator="greaterThan">
      <formula>0</formula>
    </cfRule>
  </conditionalFormatting>
  <pageMargins left="0.7" right="0.7" top="0.75" bottom="0.75" header="0.3" footer="0.3"/>
  <pageSetup paperSize="9" scale="50" fitToHeight="0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42</vt:i4>
      </vt:variant>
    </vt:vector>
  </HeadingPairs>
  <TitlesOfParts>
    <vt:vector size="42" baseType="lpstr">
      <vt:lpstr>BON DE PREPARATION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10 (4)</vt:lpstr>
      <vt:lpstr>11 (3)</vt:lpstr>
      <vt:lpstr>12 (3)</vt:lpstr>
      <vt:lpstr>13 (3)</vt:lpstr>
      <vt:lpstr>14 (3)</vt:lpstr>
      <vt:lpstr>15 (3)</vt:lpstr>
      <vt:lpstr>16 (3)</vt:lpstr>
      <vt:lpstr>17 (3)</vt:lpstr>
      <vt:lpstr>18 (3)</vt:lpstr>
      <vt:lpstr>19 (3)</vt:lpstr>
      <vt:lpstr>10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cp:lastPrinted>2025-10-07T10:26:59Z</cp:lastPrinted>
  <dcterms:created xsi:type="dcterms:W3CDTF">2023-03-17T18:26:06Z</dcterms:created>
  <dcterms:modified xsi:type="dcterms:W3CDTF">2026-01-05T09:57:42Z</dcterms:modified>
</cp:coreProperties>
</file>